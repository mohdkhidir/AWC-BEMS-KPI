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embeddings/oleObject2.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HOAHNB1\Desktop\MONTLY REPORT\2026 MAPPING BEMS\"/>
    </mc:Choice>
  </mc:AlternateContent>
  <xr:revisionPtr revIDLastSave="0" documentId="13_ncr:1_{B0A6F8AF-4F26-4B0B-A86B-BF70F07074EF}" xr6:coauthVersionLast="47" xr6:coauthVersionMax="47" xr10:uidLastSave="{00000000-0000-0000-0000-000000000000}"/>
  <bookViews>
    <workbookView xWindow="-120" yWindow="-120" windowWidth="20730" windowHeight="11160" tabRatio="706" activeTab="4" xr2:uid="{00000000-000D-0000-FFFF-FFFF00000000}"/>
  </bookViews>
  <sheets>
    <sheet name="Public Holiday" sheetId="7" r:id="rId1"/>
    <sheet name="KDI" sheetId="1" r:id="rId2"/>
    <sheet name="BEMSdar" sheetId="2" r:id="rId3"/>
    <sheet name="B1-RESPONSE &amp; B2-REPAIR" sheetId="3" r:id="rId4"/>
    <sheet name="B3-SCHEDULED" sheetId="8" r:id="rId5"/>
    <sheet name="B4-UPTIME" sheetId="5" r:id="rId6"/>
    <sheet name="B5-T&amp;C" sheetId="6" r:id="rId7"/>
    <sheet name="Sheet1" sheetId="9"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05_04_2009" localSheetId="4">#REF!</definedName>
    <definedName name="_05_04_2009" localSheetId="5">#REF!</definedName>
    <definedName name="_05_04_2009" localSheetId="6">#REF!</definedName>
    <definedName name="_05_04_2009" localSheetId="0">#REF!</definedName>
    <definedName name="_05_04_2009">#REF!</definedName>
    <definedName name="_xlnm._FilterDatabase" localSheetId="3" hidden="1">'B1-RESPONSE &amp; B2-REPAIR'!$A$22:$U$38</definedName>
    <definedName name="_xlnm._FilterDatabase" localSheetId="4" hidden="1">'B3-SCHEDULED'!$A$20:$M$65</definedName>
    <definedName name="_xlnm._FilterDatabase" localSheetId="5" hidden="1">'B4-UPTIME'!$A$17:$AB$37</definedName>
    <definedName name="_xlnm._FilterDatabase" localSheetId="7" hidden="1">Sheet1!$A$3:$G$84</definedName>
    <definedName name="a" localSheetId="4">'[1]Term Outstanding Payment'!#REF!</definedName>
    <definedName name="a" localSheetId="5">'[1]Term Outstanding Payment'!#REF!</definedName>
    <definedName name="a" localSheetId="6">'[1]Term Outstanding Payment'!#REF!</definedName>
    <definedName name="a" localSheetId="0">'[1]Term Outstanding Payment'!#REF!</definedName>
    <definedName name="a">'[1]Term Outstanding Payment'!#REF!</definedName>
    <definedName name="AA" localSheetId="4">#REF!</definedName>
    <definedName name="AA" localSheetId="5">#REF!</definedName>
    <definedName name="AA" localSheetId="6">#REF!</definedName>
    <definedName name="AA" localSheetId="0">#REF!</definedName>
    <definedName name="AA">#REF!</definedName>
    <definedName name="aaa" localSheetId="4">#REF!</definedName>
    <definedName name="aaa" localSheetId="5">#REF!</definedName>
    <definedName name="aaa" localSheetId="6">#REF!</definedName>
    <definedName name="aaa" localSheetId="0">#REF!</definedName>
    <definedName name="aaa">#REF!</definedName>
    <definedName name="aaaaa" localSheetId="4">#REF!</definedName>
    <definedName name="aaaaa" localSheetId="5">#REF!</definedName>
    <definedName name="aaaaa" localSheetId="6">#REF!</definedName>
    <definedName name="aaaaa" localSheetId="0">#REF!</definedName>
    <definedName name="aaaaa">#REF!</definedName>
    <definedName name="aaaaaaaaaa" localSheetId="4">#REF!</definedName>
    <definedName name="aaaaaaaaaa" localSheetId="5">#REF!</definedName>
    <definedName name="aaaaaaaaaa" localSheetId="6">#REF!</definedName>
    <definedName name="aaaaaaaaaa" localSheetId="0">#REF!</definedName>
    <definedName name="aaaaaaaaaa">#REF!</definedName>
    <definedName name="AAAAAAAAAAAAA" localSheetId="4">#REF!</definedName>
    <definedName name="AAAAAAAAAAAAA" localSheetId="5">#REF!</definedName>
    <definedName name="AAAAAAAAAAAAA" localSheetId="6">#REF!</definedName>
    <definedName name="AAAAAAAAAAAAA" localSheetId="0">#REF!</definedName>
    <definedName name="AAAAAAAAAAAAA">#REF!</definedName>
    <definedName name="AAAAAAAAAAAAAAAAAA" localSheetId="4">#REF!</definedName>
    <definedName name="AAAAAAAAAAAAAAAAAA" localSheetId="5">#REF!</definedName>
    <definedName name="AAAAAAAAAAAAAAAAAA" localSheetId="6">#REF!</definedName>
    <definedName name="AAAAAAAAAAAAAAAAAA" localSheetId="0">#REF!</definedName>
    <definedName name="AAAAAAAAAAAAAAAAAA">#REF!</definedName>
    <definedName name="AAAAAAAAAAAAAAAAAAAAA" localSheetId="4">#REF!</definedName>
    <definedName name="AAAAAAAAAAAAAAAAAAAAA" localSheetId="5">#REF!</definedName>
    <definedName name="AAAAAAAAAAAAAAAAAAAAA" localSheetId="6">#REF!</definedName>
    <definedName name="AAAAAAAAAAAAAAAAAAAAA" localSheetId="0">#REF!</definedName>
    <definedName name="AAAAAAAAAAAAAAAAAAAAA">#REF!</definedName>
    <definedName name="AAAAAAAAAAAAAAAAAAAAAAAAAAA" localSheetId="4">#REF!</definedName>
    <definedName name="AAAAAAAAAAAAAAAAAAAAAAAAAAA" localSheetId="5">#REF!</definedName>
    <definedName name="AAAAAAAAAAAAAAAAAAAAAAAAAAA" localSheetId="6">#REF!</definedName>
    <definedName name="AAAAAAAAAAAAAAAAAAAAAAAAAAA" localSheetId="0">#REF!</definedName>
    <definedName name="AAAAAAAAAAAAAAAAAAAAAAAAAAA">#REF!</definedName>
    <definedName name="AAAAAAAAAAAAAAAAAAAAAAAAAAAA" localSheetId="4">#REF!</definedName>
    <definedName name="AAAAAAAAAAAAAAAAAAAAAAAAAAAA" localSheetId="5">#REF!</definedName>
    <definedName name="AAAAAAAAAAAAAAAAAAAAAAAAAAAA" localSheetId="6">#REF!</definedName>
    <definedName name="AAAAAAAAAAAAAAAAAAAAAAAAAAAA" localSheetId="0">#REF!</definedName>
    <definedName name="AAAAAAAAAAAAAAAAAAAAAAAAAAAA">#REF!</definedName>
    <definedName name="AAAAAAAAAAAAAAAAAAAAAAAAAAAAAA" localSheetId="4">#REF!</definedName>
    <definedName name="AAAAAAAAAAAAAAAAAAAAAAAAAAAAAA" localSheetId="5">#REF!</definedName>
    <definedName name="AAAAAAAAAAAAAAAAAAAAAAAAAAAAAA" localSheetId="6">#REF!</definedName>
    <definedName name="AAAAAAAAAAAAAAAAAAAAAAAAAAAAAA" localSheetId="0">#REF!</definedName>
    <definedName name="AAAAAAAAAAAAAAAAAAAAAAAAAAAAAA">#REF!</definedName>
    <definedName name="AAAAAAAAAAAAAAAAAAAAAAAAAAAAAAA" localSheetId="4">#REF!</definedName>
    <definedName name="AAAAAAAAAAAAAAAAAAAAAAAAAAAAAAA" localSheetId="5">#REF!</definedName>
    <definedName name="AAAAAAAAAAAAAAAAAAAAAAAAAAAAAAA" localSheetId="6">#REF!</definedName>
    <definedName name="AAAAAAAAAAAAAAAAAAAAAAAAAAAAAAA" localSheetId="0">#REF!</definedName>
    <definedName name="AAAAAAAAAAAAAAAAAAAAAAAAAAAAAAA">#REF!</definedName>
    <definedName name="AAAAAAAAAAAAAAAAAAAAAAAAAAAAAAAAA" localSheetId="4">#REF!</definedName>
    <definedName name="AAAAAAAAAAAAAAAAAAAAAAAAAAAAAAAAA" localSheetId="5">#REF!</definedName>
    <definedName name="AAAAAAAAAAAAAAAAAAAAAAAAAAAAAAAAA" localSheetId="6">#REF!</definedName>
    <definedName name="AAAAAAAAAAAAAAAAAAAAAAAAAAAAAAAAA" localSheetId="0">#REF!</definedName>
    <definedName name="AAAAAAAAAAAAAAAAAAAAAAAAAAAAAAAAA">#REF!</definedName>
    <definedName name="AAAAAAAAAAAAAAAAAAAAAAAAAAAAAAAAAA" localSheetId="4">#REF!</definedName>
    <definedName name="AAAAAAAAAAAAAAAAAAAAAAAAAAAAAAAAAA" localSheetId="5">#REF!</definedName>
    <definedName name="AAAAAAAAAAAAAAAAAAAAAAAAAAAAAAAAAA" localSheetId="6">#REF!</definedName>
    <definedName name="AAAAAAAAAAAAAAAAAAAAAAAAAAAAAAAAAA" localSheetId="0">#REF!</definedName>
    <definedName name="AAAAAAAAAAAAAAAAAAAAAAAAAAAAAAAAAA">#REF!</definedName>
    <definedName name="ab" localSheetId="4">'[2]Table A.1'!#REF!</definedName>
    <definedName name="ab" localSheetId="5">'[2]Table A.1'!#REF!</definedName>
    <definedName name="ab" localSheetId="6">'[2]Table A.1'!#REF!</definedName>
    <definedName name="ab" localSheetId="0">'[2]Table A.1'!#REF!</definedName>
    <definedName name="ab">'[2]Table A.1'!#REF!</definedName>
    <definedName name="ac" localSheetId="4">'[2]Table A.1'!#REF!</definedName>
    <definedName name="ac" localSheetId="5">'[2]Table A.1'!#REF!</definedName>
    <definedName name="ac" localSheetId="6">'[2]Table A.1'!#REF!</definedName>
    <definedName name="ac" localSheetId="0">'[2]Table A.1'!#REF!</definedName>
    <definedName name="ac">'[2]Table A.1'!#REF!</definedName>
    <definedName name="ACHGYJF" localSheetId="4">#REF!</definedName>
    <definedName name="ACHGYJF" localSheetId="5">#REF!</definedName>
    <definedName name="ACHGYJF" localSheetId="6">#REF!</definedName>
    <definedName name="ACHGYJF" localSheetId="0">#REF!</definedName>
    <definedName name="ACHGYJF">#REF!</definedName>
    <definedName name="ad" localSheetId="4">'[2]Table A.1'!#REF!</definedName>
    <definedName name="ad" localSheetId="5">'[2]Table A.1'!#REF!</definedName>
    <definedName name="ad" localSheetId="6">'[2]Table A.1'!#REF!</definedName>
    <definedName name="ad" localSheetId="0">'[2]Table A.1'!#REF!</definedName>
    <definedName name="ad">'[2]Table A.1'!#REF!</definedName>
    <definedName name="ae" localSheetId="4">'[2]Table A.1'!#REF!</definedName>
    <definedName name="ae" localSheetId="5">'[2]Table A.1'!#REF!</definedName>
    <definedName name="ae" localSheetId="6">'[2]Table A.1'!#REF!</definedName>
    <definedName name="ae" localSheetId="0">'[2]Table A.1'!#REF!</definedName>
    <definedName name="ae">'[2]Table A.1'!#REF!</definedName>
    <definedName name="af" localSheetId="4">'[2]Table A.1'!#REF!</definedName>
    <definedName name="af" localSheetId="5">'[2]Table A.1'!#REF!</definedName>
    <definedName name="af" localSheetId="6">'[2]Table A.1'!#REF!</definedName>
    <definedName name="af" localSheetId="0">'[2]Table A.1'!#REF!</definedName>
    <definedName name="af">'[2]Table A.1'!#REF!</definedName>
    <definedName name="all" localSheetId="4">#REF!</definedName>
    <definedName name="all" localSheetId="5">#REF!</definedName>
    <definedName name="all" localSheetId="6">#REF!</definedName>
    <definedName name="all" localSheetId="0">#REF!</definedName>
    <definedName name="all">#REF!</definedName>
    <definedName name="AV" localSheetId="4">#REF!</definedName>
    <definedName name="AV" localSheetId="5">#REF!</definedName>
    <definedName name="AV" localSheetId="6">#REF!</definedName>
    <definedName name="AV" localSheetId="0">#REF!</definedName>
    <definedName name="AV">#REF!</definedName>
    <definedName name="AWAL">'B1-RESPONSE &amp; B2-REPAIR'!$L$6</definedName>
    <definedName name="B">'[3]Term Outstanding Payment'!#REF!</definedName>
    <definedName name="BBBBBBBBBBBB" localSheetId="4">#REF!</definedName>
    <definedName name="BBBBBBBBBBBB" localSheetId="5">#REF!</definedName>
    <definedName name="BBBBBBBBBBBB" localSheetId="6">#REF!</definedName>
    <definedName name="BBBBBBBBBBBB" localSheetId="0">#REF!</definedName>
    <definedName name="BBBBBBBBBBBB">#REF!</definedName>
    <definedName name="BBBBBBBBBBBBB" localSheetId="4">#REF!</definedName>
    <definedName name="BBBBBBBBBBBBB" localSheetId="5">#REF!</definedName>
    <definedName name="BBBBBBBBBBBBB" localSheetId="6">#REF!</definedName>
    <definedName name="BBBBBBBBBBBBB" localSheetId="0">#REF!</definedName>
    <definedName name="BBBBBBBBBBBBB">#REF!</definedName>
    <definedName name="BBBBBBBBBBBBBB" localSheetId="4">#REF!</definedName>
    <definedName name="BBBBBBBBBBBBBB" localSheetId="5">#REF!</definedName>
    <definedName name="BBBBBBBBBBBBBB" localSheetId="6">#REF!</definedName>
    <definedName name="BBBBBBBBBBBBBB" localSheetId="0">#REF!</definedName>
    <definedName name="BBBBBBBBBBBBBB">#REF!</definedName>
    <definedName name="CAAAE" localSheetId="4">#REF!</definedName>
    <definedName name="CAAAE" localSheetId="5">#REF!</definedName>
    <definedName name="CAAAE" localSheetId="6">#REF!</definedName>
    <definedName name="CAAAE" localSheetId="0">#REF!</definedName>
    <definedName name="CAAAE">#REF!</definedName>
    <definedName name="Ce" localSheetId="4">#REF!</definedName>
    <definedName name="Ce" localSheetId="5">#REF!</definedName>
    <definedName name="Ce" localSheetId="6">#REF!</definedName>
    <definedName name="Ce" localSheetId="0">#REF!</definedName>
    <definedName name="Ce">#REF!</definedName>
    <definedName name="CFDSSSSS" localSheetId="4">#REF!</definedName>
    <definedName name="CFDSSSSS" localSheetId="5">#REF!</definedName>
    <definedName name="CFDSSSSS" localSheetId="6">#REF!</definedName>
    <definedName name="CFDSSSSS" localSheetId="0">#REF!</definedName>
    <definedName name="CFDSSSSS">#REF!</definedName>
    <definedName name="CFE" localSheetId="4">#REF!</definedName>
    <definedName name="CFE" localSheetId="5">#REF!</definedName>
    <definedName name="CFE" localSheetId="6">#REF!</definedName>
    <definedName name="CFE" localSheetId="0">#REF!</definedName>
    <definedName name="CFE">#REF!</definedName>
    <definedName name="CFFFFFDS" localSheetId="4">'[4]Term Outstanding Payment'!#REF!</definedName>
    <definedName name="CFFFFFDS" localSheetId="5">'[4]Term Outstanding Payment'!#REF!</definedName>
    <definedName name="CFFFFFDS" localSheetId="6">'[4]Term Outstanding Payment'!#REF!</definedName>
    <definedName name="CFFFFFDS" localSheetId="0">'[4]Term Outstanding Payment'!#REF!</definedName>
    <definedName name="CFFFFFDS">'[4]Term Outstanding Payment'!#REF!</definedName>
    <definedName name="CRSFD" localSheetId="4">#REF!</definedName>
    <definedName name="CRSFD" localSheetId="5">#REF!</definedName>
    <definedName name="CRSFD" localSheetId="6">#REF!</definedName>
    <definedName name="CRSFD" localSheetId="0">#REF!</definedName>
    <definedName name="CRSFD">#REF!</definedName>
    <definedName name="CTRGSFD" localSheetId="4">#REF!</definedName>
    <definedName name="CTRGSFD" localSheetId="5">#REF!</definedName>
    <definedName name="CTRGSFD" localSheetId="6">#REF!</definedName>
    <definedName name="CTRGSFD" localSheetId="0">#REF!</definedName>
    <definedName name="CTRGSFD">#REF!</definedName>
    <definedName name="DASDSAC" localSheetId="4">#REF!</definedName>
    <definedName name="DASDSAC" localSheetId="5">#REF!</definedName>
    <definedName name="DASDSAC" localSheetId="6">#REF!</definedName>
    <definedName name="DASDSAC" localSheetId="0">#REF!</definedName>
    <definedName name="DASDSAC">#REF!</definedName>
    <definedName name="date">'[5]Public Holiday'!$A$3:$A$44</definedName>
    <definedName name="dcfd" localSheetId="4">#REF!</definedName>
    <definedName name="dcfd" localSheetId="5">#REF!</definedName>
    <definedName name="dcfd" localSheetId="6">#REF!</definedName>
    <definedName name="dcfd" localSheetId="0">#REF!</definedName>
    <definedName name="dcfd">#REF!</definedName>
    <definedName name="DDDDDDDDDDD" localSheetId="4">#REF!</definedName>
    <definedName name="DDDDDDDDDDD" localSheetId="5">#REF!</definedName>
    <definedName name="DDDDDDDDDDD" localSheetId="6">#REF!</definedName>
    <definedName name="DDDDDDDDDDD" localSheetId="0">#REF!</definedName>
    <definedName name="DDDDDDDDDDD">#REF!</definedName>
    <definedName name="DDDDDDDDDDDDD" localSheetId="4">#REF!</definedName>
    <definedName name="DDDDDDDDDDDDD" localSheetId="5">#REF!</definedName>
    <definedName name="DDDDDDDDDDDDD" localSheetId="6">#REF!</definedName>
    <definedName name="DDDDDDDDDDDDD" localSheetId="0">#REF!</definedName>
    <definedName name="DDDDDDDDDDDDD">#REF!</definedName>
    <definedName name="DFBNG" localSheetId="4">#REF!</definedName>
    <definedName name="DFBNG" localSheetId="5">#REF!</definedName>
    <definedName name="DFBNG" localSheetId="6">#REF!</definedName>
    <definedName name="DFBNG" localSheetId="0">#REF!</definedName>
    <definedName name="DFBNG">#REF!</definedName>
    <definedName name="dfd" localSheetId="4">#REF!</definedName>
    <definedName name="dfd" localSheetId="5">#REF!</definedName>
    <definedName name="dfd" localSheetId="6">#REF!</definedName>
    <definedName name="dfd" localSheetId="0">#REF!</definedName>
    <definedName name="dfd">#REF!</definedName>
    <definedName name="dfhbcv" localSheetId="4">#REF!</definedName>
    <definedName name="dfhbcv" localSheetId="5">#REF!</definedName>
    <definedName name="dfhbcv" localSheetId="6">#REF!</definedName>
    <definedName name="dfhbcv" localSheetId="0">#REF!</definedName>
    <definedName name="dfhbcv">#REF!</definedName>
    <definedName name="DFHGB" localSheetId="4">#REF!</definedName>
    <definedName name="DFHGB" localSheetId="5">#REF!</definedName>
    <definedName name="DFHGB" localSheetId="6">#REF!</definedName>
    <definedName name="DFHGB" localSheetId="0">#REF!</definedName>
    <definedName name="DFHGB">#REF!</definedName>
    <definedName name="dfssa" localSheetId="4">#REF!</definedName>
    <definedName name="dfssa" localSheetId="5">#REF!</definedName>
    <definedName name="dfssa" localSheetId="6">#REF!</definedName>
    <definedName name="dfssa" localSheetId="0">#REF!</definedName>
    <definedName name="dfssa">#REF!</definedName>
    <definedName name="dggggggggggggg" localSheetId="4">#REF!</definedName>
    <definedName name="dggggggggggggg" localSheetId="5">#REF!</definedName>
    <definedName name="dggggggggggggg" localSheetId="6">#REF!</definedName>
    <definedName name="dggggggggggggg" localSheetId="0">#REF!</definedName>
    <definedName name="dggggggggggggg">#REF!</definedName>
    <definedName name="dsgsf" localSheetId="4">#REF!</definedName>
    <definedName name="dsgsf" localSheetId="5">#REF!</definedName>
    <definedName name="dsgsf" localSheetId="6">#REF!</definedName>
    <definedName name="dsgsf" localSheetId="0">#REF!</definedName>
    <definedName name="dsgsf">#REF!</definedName>
    <definedName name="DSSSSSSSSSSSSSSSSSF" localSheetId="4">#REF!</definedName>
    <definedName name="DSSSSSSSSSSSSSSSSSF" localSheetId="5">#REF!</definedName>
    <definedName name="DSSSSSSSSSSSSSSSSSF" localSheetId="6">#REF!</definedName>
    <definedName name="DSSSSSSSSSSSSSSSSSF" localSheetId="0">#REF!</definedName>
    <definedName name="DSSSSSSSSSSSSSSSSSF">#REF!</definedName>
    <definedName name="EACFE" localSheetId="4">#REF!</definedName>
    <definedName name="EACFE" localSheetId="5">#REF!</definedName>
    <definedName name="EACFE" localSheetId="6">#REF!</definedName>
    <definedName name="EACFE" localSheetId="0">#REF!</definedName>
    <definedName name="EACFE">#REF!</definedName>
    <definedName name="eec" localSheetId="4">#REF!</definedName>
    <definedName name="eec" localSheetId="5">#REF!</definedName>
    <definedName name="eec" localSheetId="6">#REF!</definedName>
    <definedName name="eec" localSheetId="0">#REF!</definedName>
    <definedName name="eec">#REF!</definedName>
    <definedName name="EERC" localSheetId="4">#REF!</definedName>
    <definedName name="EERC" localSheetId="5">#REF!</definedName>
    <definedName name="EERC" localSheetId="6">#REF!</definedName>
    <definedName name="EERC" localSheetId="0">#REF!</definedName>
    <definedName name="EERC">#REF!</definedName>
    <definedName name="EWA" localSheetId="4">#REF!</definedName>
    <definedName name="EWA" localSheetId="5">#REF!</definedName>
    <definedName name="EWA" localSheetId="6">#REF!</definedName>
    <definedName name="EWA" localSheetId="0">#REF!</definedName>
    <definedName name="EWA">#REF!</definedName>
    <definedName name="EWEC" localSheetId="4">#REF!</definedName>
    <definedName name="EWEC" localSheetId="5">#REF!</definedName>
    <definedName name="EWEC" localSheetId="6">#REF!</definedName>
    <definedName name="EWEC" localSheetId="0">#REF!</definedName>
    <definedName name="EWEC">#REF!</definedName>
    <definedName name="ewtwet" localSheetId="4">[6]Hidden!#REF!</definedName>
    <definedName name="ewtwet" localSheetId="5">[6]Hidden!#REF!</definedName>
    <definedName name="ewtwet" localSheetId="6">[6]Hidden!#REF!</definedName>
    <definedName name="ewtwet" localSheetId="0">[6]Hidden!#REF!</definedName>
    <definedName name="ewtwet">[6]Hidden!#REF!</definedName>
    <definedName name="excel" localSheetId="4">#REF!</definedName>
    <definedName name="excel" localSheetId="5">#REF!</definedName>
    <definedName name="excel" localSheetId="6">#REF!</definedName>
    <definedName name="excel" localSheetId="0">#REF!</definedName>
    <definedName name="excel">#REF!</definedName>
    <definedName name="Excel_BuiltIn__FilterDatabase_2" localSheetId="4">#REF!</definedName>
    <definedName name="Excel_BuiltIn__FilterDatabase_2" localSheetId="5">#REF!</definedName>
    <definedName name="Excel_BuiltIn__FilterDatabase_2" localSheetId="6">#REF!</definedName>
    <definedName name="Excel_BuiltIn__FilterDatabase_2" localSheetId="0">#REF!</definedName>
    <definedName name="Excel_BuiltIn__FilterDatabase_2">#REF!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 localSheetId="0">#REF!</definedName>
    <definedName name="Excel_BuiltIn__FilterDatabase_4">#REF!</definedName>
    <definedName name="Excel_BuiltIn__FilterDatabase_5" localSheetId="4">#REF!</definedName>
    <definedName name="Excel_BuiltIn__FilterDatabase_5" localSheetId="5">#REF!</definedName>
    <definedName name="Excel_BuiltIn__FilterDatabase_5" localSheetId="6">#REF!</definedName>
    <definedName name="Excel_BuiltIn__FilterDatabase_5" localSheetId="0">#REF!</definedName>
    <definedName name="Excel_BuiltIn__FilterDatabase_5">#REF!</definedName>
    <definedName name="Excel_BuiltIn__FilterDatabase_8" localSheetId="4">#REF!</definedName>
    <definedName name="Excel_BuiltIn__FilterDatabase_8" localSheetId="5">#REF!</definedName>
    <definedName name="Excel_BuiltIn__FilterDatabase_8" localSheetId="6">#REF!</definedName>
    <definedName name="Excel_BuiltIn__FilterDatabase_8" localSheetId="0">#REF!</definedName>
    <definedName name="Excel_BuiltIn__FilterDatabase_8">#REF!</definedName>
    <definedName name="Excel_BuiltIn_Print_Area_1" localSheetId="4">#REF!</definedName>
    <definedName name="Excel_BuiltIn_Print_Area_1" localSheetId="5">#REF!</definedName>
    <definedName name="Excel_BuiltIn_Print_Area_1" localSheetId="6">#REF!</definedName>
    <definedName name="Excel_BuiltIn_Print_Area_1" localSheetId="0">#REF!</definedName>
    <definedName name="Excel_BuiltIn_Print_Area_1">#REF!</definedName>
    <definedName name="Excel_BuiltIn_Print_Area_1_1" localSheetId="4">#REF!</definedName>
    <definedName name="Excel_BuiltIn_Print_Area_1_1" localSheetId="5">#REF!</definedName>
    <definedName name="Excel_BuiltIn_Print_Area_1_1" localSheetId="6">#REF!</definedName>
    <definedName name="Excel_BuiltIn_Print_Area_1_1" localSheetId="0">#REF!</definedName>
    <definedName name="Excel_BuiltIn_Print_Area_1_1">#REF!</definedName>
    <definedName name="Excel_BuiltIn_Print_Area_10_1" localSheetId="4">#REF!</definedName>
    <definedName name="Excel_BuiltIn_Print_Area_10_1" localSheetId="5">#REF!</definedName>
    <definedName name="Excel_BuiltIn_Print_Area_10_1" localSheetId="6">#REF!</definedName>
    <definedName name="Excel_BuiltIn_Print_Area_10_1" localSheetId="0">#REF!</definedName>
    <definedName name="Excel_BuiltIn_Print_Area_10_1">#REF!</definedName>
    <definedName name="Excel_BuiltIn_Print_Area_3_1" localSheetId="4">#REF!</definedName>
    <definedName name="Excel_BuiltIn_Print_Area_3_1" localSheetId="5">#REF!</definedName>
    <definedName name="Excel_BuiltIn_Print_Area_3_1" localSheetId="6">#REF!</definedName>
    <definedName name="Excel_BuiltIn_Print_Area_3_1" localSheetId="0">#REF!</definedName>
    <definedName name="Excel_BuiltIn_Print_Area_3_1">#REF!</definedName>
    <definedName name="Excel_BuiltIn_Print_Area_3_1_1" localSheetId="4">#REF!</definedName>
    <definedName name="Excel_BuiltIn_Print_Area_3_1_1" localSheetId="5">#REF!</definedName>
    <definedName name="Excel_BuiltIn_Print_Area_3_1_1" localSheetId="6">#REF!</definedName>
    <definedName name="Excel_BuiltIn_Print_Area_3_1_1" localSheetId="0">#REF!</definedName>
    <definedName name="Excel_BuiltIn_Print_Area_3_1_1">#REF!</definedName>
    <definedName name="Excel_BuiltIn_Print_Area_3_1_1_1" localSheetId="4">#REF!</definedName>
    <definedName name="Excel_BuiltIn_Print_Area_3_1_1_1" localSheetId="5">#REF!</definedName>
    <definedName name="Excel_BuiltIn_Print_Area_3_1_1_1" localSheetId="6">#REF!</definedName>
    <definedName name="Excel_BuiltIn_Print_Area_3_1_1_1" localSheetId="0">#REF!</definedName>
    <definedName name="Excel_BuiltIn_Print_Area_3_1_1_1">#REF!</definedName>
    <definedName name="Excel_BuiltIn_Print_Area_6" localSheetId="4">'[4]Term Outstanding Payment'!#REF!</definedName>
    <definedName name="Excel_BuiltIn_Print_Area_6" localSheetId="5">'[4]Term Outstanding Payment'!#REF!</definedName>
    <definedName name="Excel_BuiltIn_Print_Area_6" localSheetId="6">'[4]Term Outstanding Payment'!#REF!</definedName>
    <definedName name="Excel_BuiltIn_Print_Area_6" localSheetId="0">'[4]Term Outstanding Payment'!#REF!</definedName>
    <definedName name="Excel_BuiltIn_Print_Area_6">'[4]Term Outstanding Payment'!#REF!</definedName>
    <definedName name="Excel_BuiltIn_Print_Area_8_1" localSheetId="4">#REF!</definedName>
    <definedName name="Excel_BuiltIn_Print_Area_8_1" localSheetId="5">#REF!</definedName>
    <definedName name="Excel_BuiltIn_Print_Area_8_1" localSheetId="6">#REF!</definedName>
    <definedName name="Excel_BuiltIn_Print_Area_8_1" localSheetId="0">#REF!</definedName>
    <definedName name="Excel_BuiltIn_Print_Area_8_1">#REF!</definedName>
    <definedName name="Excel_BuiltIn_Print_Area_9_1" localSheetId="4">#REF!</definedName>
    <definedName name="Excel_BuiltIn_Print_Area_9_1" localSheetId="5">#REF!</definedName>
    <definedName name="Excel_BuiltIn_Print_Area_9_1" localSheetId="6">#REF!</definedName>
    <definedName name="Excel_BuiltIn_Print_Area_9_1" localSheetId="0">#REF!</definedName>
    <definedName name="Excel_BuiltIn_Print_Area_9_1">#REF!</definedName>
    <definedName name="Excel_BuiltIn_Print_Area_9_1_1" localSheetId="4">#REF!</definedName>
    <definedName name="Excel_BuiltIn_Print_Area_9_1_1" localSheetId="5">#REF!</definedName>
    <definedName name="Excel_BuiltIn_Print_Area_9_1_1" localSheetId="6">#REF!</definedName>
    <definedName name="Excel_BuiltIn_Print_Area_9_1_1" localSheetId="0">#REF!</definedName>
    <definedName name="Excel_BuiltIn_Print_Area_9_1_1">#REF!</definedName>
    <definedName name="Excel_BuiltIn_Print_JMN_25_9_13" localSheetId="4">#REF!</definedName>
    <definedName name="Excel_BuiltIn_Print_JMN_25_9_13" localSheetId="5">#REF!</definedName>
    <definedName name="Excel_BuiltIn_Print_JMN_25_9_13" localSheetId="6">#REF!</definedName>
    <definedName name="Excel_BuiltIn_Print_JMN_25_9_13" localSheetId="0">#REF!</definedName>
    <definedName name="Excel_BuiltIn_Print_JMN_25_9_13">#REF!</definedName>
    <definedName name="Excel_BuiltIn_Print_Titles_1_1" localSheetId="4">#REF!</definedName>
    <definedName name="Excel_BuiltIn_Print_Titles_1_1" localSheetId="5">#REF!</definedName>
    <definedName name="Excel_BuiltIn_Print_Titles_1_1" localSheetId="6">#REF!</definedName>
    <definedName name="Excel_BuiltIn_Print_Titles_1_1" localSheetId="0">#REF!</definedName>
    <definedName name="Excel_BuiltIn_Print_Titles_1_1">#REF!</definedName>
    <definedName name="Excel_BuiltIn_Print_Titles_8" localSheetId="4">#REF!</definedName>
    <definedName name="Excel_BuiltIn_Print_Titles_8" localSheetId="5">#REF!</definedName>
    <definedName name="Excel_BuiltIn_Print_Titles_8" localSheetId="6">#REF!</definedName>
    <definedName name="Excel_BuiltIn_Print_Titles_8" localSheetId="0">#REF!</definedName>
    <definedName name="Excel_BuiltIn_Print_Titles_8">#REF!</definedName>
    <definedName name="Excel_BuiltIn_Print_Titles_9" localSheetId="4">#REF!</definedName>
    <definedName name="Excel_BuiltIn_Print_Titles_9" localSheetId="5">#REF!</definedName>
    <definedName name="Excel_BuiltIn_Print_Titles_9" localSheetId="6">#REF!</definedName>
    <definedName name="Excel_BuiltIn_Print_Titles_9" localSheetId="0">#REF!</definedName>
    <definedName name="Excel_BuiltIn_Print_Titles_9">#REF!</definedName>
    <definedName name="fasdfasfasfsaf" localSheetId="4">#REF!</definedName>
    <definedName name="fasdfasfasfsaf" localSheetId="5">#REF!</definedName>
    <definedName name="fasdfasfasfsaf" localSheetId="6">#REF!</definedName>
    <definedName name="fasdfasfasfsaf" localSheetId="0">#REF!</definedName>
    <definedName name="fasdfasfasfsaf">#REF!</definedName>
    <definedName name="FCXXF" localSheetId="4">#REF!</definedName>
    <definedName name="FCXXF" localSheetId="5">#REF!</definedName>
    <definedName name="FCXXF" localSheetId="6">#REF!</definedName>
    <definedName name="FCXXF" localSheetId="0">#REF!</definedName>
    <definedName name="FCXXF">#REF!</definedName>
    <definedName name="fdgfdgdfgdg" localSheetId="4">#REF!</definedName>
    <definedName name="fdgfdgdfgdg" localSheetId="5">#REF!</definedName>
    <definedName name="fdgfdgdfgdg" localSheetId="6">#REF!</definedName>
    <definedName name="fdgfdgdfgdg" localSheetId="0">#REF!</definedName>
    <definedName name="fdgfdgdfgdg">#REF!</definedName>
    <definedName name="FFFFFFFFFFFFFFFFF" localSheetId="4">#REF!</definedName>
    <definedName name="FFFFFFFFFFFFFFFFF" localSheetId="5">#REF!</definedName>
    <definedName name="FFFFFFFFFFFFFFFFF" localSheetId="6">#REF!</definedName>
    <definedName name="FFFFFFFFFFFFFFFFF" localSheetId="0">#REF!</definedName>
    <definedName name="FFFFFFFFFFFFFFFFF">#REF!</definedName>
    <definedName name="ffgdsdfg" localSheetId="4">#REF!</definedName>
    <definedName name="ffgdsdfg" localSheetId="5">#REF!</definedName>
    <definedName name="ffgdsdfg" localSheetId="6">#REF!</definedName>
    <definedName name="ffgdsdfg" localSheetId="0">#REF!</definedName>
    <definedName name="ffgdsdfg">#REF!</definedName>
    <definedName name="GAAAAAAAFC" localSheetId="4">#REF!</definedName>
    <definedName name="GAAAAAAAFC" localSheetId="5">#REF!</definedName>
    <definedName name="GAAAAAAAFC" localSheetId="6">#REF!</definedName>
    <definedName name="GAAAAAAAFC" localSheetId="0">#REF!</definedName>
    <definedName name="GAAAAAAAFC">#REF!</definedName>
    <definedName name="GDRGT" localSheetId="4">#REF!</definedName>
    <definedName name="GDRGT" localSheetId="5">#REF!</definedName>
    <definedName name="GDRGT" localSheetId="6">#REF!</definedName>
    <definedName name="GDRGT" localSheetId="0">#REF!</definedName>
    <definedName name="GDRGT">#REF!</definedName>
    <definedName name="GDSF" localSheetId="4">#REF!</definedName>
    <definedName name="GDSF" localSheetId="5">#REF!</definedName>
    <definedName name="GDSF" localSheetId="6">#REF!</definedName>
    <definedName name="GDSF" localSheetId="0">#REF!</definedName>
    <definedName name="GDSF">#REF!</definedName>
    <definedName name="GFHDNHZ" localSheetId="4">#REF!</definedName>
    <definedName name="GFHDNHZ" localSheetId="5">#REF!</definedName>
    <definedName name="GFHDNHZ" localSheetId="6">#REF!</definedName>
    <definedName name="GFHDNHZ" localSheetId="0">#REF!</definedName>
    <definedName name="GFHDNHZ">#REF!</definedName>
    <definedName name="GFNBC" localSheetId="4">#REF!</definedName>
    <definedName name="GFNBC" localSheetId="5">#REF!</definedName>
    <definedName name="GFNBC" localSheetId="6">#REF!</definedName>
    <definedName name="GFNBC" localSheetId="0">#REF!</definedName>
    <definedName name="GFNBC">#REF!</definedName>
    <definedName name="gfre" localSheetId="4">#REF!</definedName>
    <definedName name="gfre" localSheetId="5">#REF!</definedName>
    <definedName name="gfre" localSheetId="6">#REF!</definedName>
    <definedName name="gfre" localSheetId="0">#REF!</definedName>
    <definedName name="gfre">#REF!</definedName>
    <definedName name="ggggg" localSheetId="4">#REF!</definedName>
    <definedName name="ggggg" localSheetId="5">#REF!</definedName>
    <definedName name="ggggg" localSheetId="6">#REF!</definedName>
    <definedName name="ggggg" localSheetId="0">#REF!</definedName>
    <definedName name="ggggg">#REF!</definedName>
    <definedName name="gggggggggggggggggg" localSheetId="4">#REF!</definedName>
    <definedName name="gggggggggggggggggg" localSheetId="5">#REF!</definedName>
    <definedName name="gggggggggggggggggg" localSheetId="6">#REF!</definedName>
    <definedName name="gggggggggggggggggg" localSheetId="0">#REF!</definedName>
    <definedName name="gggggggggggggggggg">#REF!</definedName>
    <definedName name="GGGGGGGGGGGGGGGGGGGGG" localSheetId="4">#REF!</definedName>
    <definedName name="GGGGGGGGGGGGGGGGGGGGG" localSheetId="5">#REF!</definedName>
    <definedName name="GGGGGGGGGGGGGGGGGGGGG" localSheetId="6">#REF!</definedName>
    <definedName name="GGGGGGGGGGGGGGGGGGGGG" localSheetId="0">#REF!</definedName>
    <definedName name="GGGGGGGGGGGGGGGGGGGGG">#REF!</definedName>
    <definedName name="GGGZDG" localSheetId="4">#REF!</definedName>
    <definedName name="GGGZDG" localSheetId="5">#REF!</definedName>
    <definedName name="GGGZDG" localSheetId="6">#REF!</definedName>
    <definedName name="GGGZDG" localSheetId="0">#REF!</definedName>
    <definedName name="GGGZDG">#REF!</definedName>
    <definedName name="GHNVGC" localSheetId="4">#REF!</definedName>
    <definedName name="GHNVGC" localSheetId="5">#REF!</definedName>
    <definedName name="GHNVGC" localSheetId="6">#REF!</definedName>
    <definedName name="GHNVGC" localSheetId="0">#REF!</definedName>
    <definedName name="GHNVGC">#REF!</definedName>
    <definedName name="GRFCEZSX" localSheetId="4">#REF!</definedName>
    <definedName name="GRFCEZSX" localSheetId="5">#REF!</definedName>
    <definedName name="GRFCEZSX" localSheetId="6">#REF!</definedName>
    <definedName name="GRFCEZSX" localSheetId="0">#REF!</definedName>
    <definedName name="GRFCEZSX">#REF!</definedName>
    <definedName name="gsdfgsdgsds" localSheetId="4">#REF!</definedName>
    <definedName name="gsdfgsdgsds" localSheetId="5">#REF!</definedName>
    <definedName name="gsdfgsdgsds" localSheetId="6">#REF!</definedName>
    <definedName name="gsdfgsdgsds" localSheetId="0">#REF!</definedName>
    <definedName name="gsdfgsdgsds">#REF!</definedName>
    <definedName name="GZDFA" localSheetId="4">#REF!</definedName>
    <definedName name="GZDFA" localSheetId="5">#REF!</definedName>
    <definedName name="GZDFA" localSheetId="6">#REF!</definedName>
    <definedName name="GZDFA" localSheetId="0">#REF!</definedName>
    <definedName name="GZDFA">#REF!</definedName>
    <definedName name="hdfhdfhdfhf" localSheetId="4">[6]Hidden!#REF!</definedName>
    <definedName name="hdfhdfhdfhf" localSheetId="5">[6]Hidden!#REF!</definedName>
    <definedName name="hdfhdfhdfhf" localSheetId="6">[6]Hidden!#REF!</definedName>
    <definedName name="hdfhdfhdfhf" localSheetId="0">[6]Hidden!#REF!</definedName>
    <definedName name="hdfhdfhdfhf">[6]Hidden!#REF!</definedName>
    <definedName name="HSA" localSheetId="4">#REF!</definedName>
    <definedName name="HSA" localSheetId="5">#REF!</definedName>
    <definedName name="HSA" localSheetId="6">#REF!</definedName>
    <definedName name="HSA" localSheetId="0">#REF!</definedName>
    <definedName name="HSA">#REF!</definedName>
    <definedName name="hujung">'B1-RESPONSE &amp; B2-REPAIR'!$O$8</definedName>
    <definedName name="I" localSheetId="4">#REF!</definedName>
    <definedName name="I" localSheetId="5">#REF!</definedName>
    <definedName name="I" localSheetId="6">#REF!</definedName>
    <definedName name="I" localSheetId="0">#REF!</definedName>
    <definedName name="I">#REF!</definedName>
    <definedName name="ILA" localSheetId="4">#REF!</definedName>
    <definedName name="ILA" localSheetId="5">#REF!</definedName>
    <definedName name="ILA" localSheetId="6">#REF!</definedName>
    <definedName name="ILA" localSheetId="0">#REF!</definedName>
    <definedName name="ILA">#REF!</definedName>
    <definedName name="kkk" localSheetId="4">#REF!</definedName>
    <definedName name="kkk" localSheetId="5">#REF!</definedName>
    <definedName name="kkk" localSheetId="6">#REF!</definedName>
    <definedName name="kkk" localSheetId="0">#REF!</definedName>
    <definedName name="kkk">#REF!</definedName>
    <definedName name="kkkkk" localSheetId="4">#REF!</definedName>
    <definedName name="kkkkk" localSheetId="5">#REF!</definedName>
    <definedName name="kkkkk" localSheetId="6">#REF!</definedName>
    <definedName name="kkkkk" localSheetId="0">#REF!</definedName>
    <definedName name="kkkkk">#REF!</definedName>
    <definedName name="LA" localSheetId="4">#REF!</definedName>
    <definedName name="LA" localSheetId="5">#REF!</definedName>
    <definedName name="LA" localSheetId="6">#REF!</definedName>
    <definedName name="LA" localSheetId="0">#REF!</definedName>
    <definedName name="LA">#REF!</definedName>
    <definedName name="LALA" localSheetId="4">#REF!</definedName>
    <definedName name="LALA" localSheetId="5">#REF!</definedName>
    <definedName name="LALA" localSheetId="6">#REF!</definedName>
    <definedName name="LALA" localSheetId="0">#REF!</definedName>
    <definedName name="LALA">#REF!</definedName>
    <definedName name="list" localSheetId="4">#REF!</definedName>
    <definedName name="list" localSheetId="5">#REF!</definedName>
    <definedName name="list" localSheetId="6">#REF!</definedName>
    <definedName name="list" localSheetId="0">#REF!</definedName>
    <definedName name="list">#REF!</definedName>
    <definedName name="ll" localSheetId="4">#REF!</definedName>
    <definedName name="ll" localSheetId="5">#REF!</definedName>
    <definedName name="ll" localSheetId="6">#REF!</definedName>
    <definedName name="ll" localSheetId="0">#REF!</definedName>
    <definedName name="ll">#REF!</definedName>
    <definedName name="LLLLL" localSheetId="4">#REF!</definedName>
    <definedName name="LLLLL" localSheetId="5">#REF!</definedName>
    <definedName name="LLLLL" localSheetId="6">#REF!</definedName>
    <definedName name="LLLLL" localSheetId="0">#REF!</definedName>
    <definedName name="LLLLL">#REF!</definedName>
    <definedName name="mappingMay" localSheetId="4">#REF!</definedName>
    <definedName name="mappingMay" localSheetId="5">#REF!</definedName>
    <definedName name="mappingMay" localSheetId="6">#REF!</definedName>
    <definedName name="mappingMay" localSheetId="0">#REF!</definedName>
    <definedName name="mappingMay">#REF!</definedName>
    <definedName name="mmm" localSheetId="4">[6]Hidden!#REF!</definedName>
    <definedName name="mmm" localSheetId="5">[6]Hidden!#REF!</definedName>
    <definedName name="mmm" localSheetId="6">[6]Hidden!#REF!</definedName>
    <definedName name="mmm" localSheetId="0">[6]Hidden!#REF!</definedName>
    <definedName name="mmm">[6]Hidden!#REF!</definedName>
    <definedName name="MMMMMMMMMMMMMM" localSheetId="4">#REF!</definedName>
    <definedName name="MMMMMMMMMMMMMM" localSheetId="5">#REF!</definedName>
    <definedName name="MMMMMMMMMMMMMM" localSheetId="6">#REF!</definedName>
    <definedName name="MMMMMMMMMMMMMM" localSheetId="0">#REF!</definedName>
    <definedName name="MMMMMMMMMMMMMM">#REF!</definedName>
    <definedName name="my_name" localSheetId="4">#REF!</definedName>
    <definedName name="my_name" localSheetId="5">#REF!</definedName>
    <definedName name="my_name" localSheetId="6">#REF!</definedName>
    <definedName name="my_name" localSheetId="0">#REF!</definedName>
    <definedName name="my_name">#REF!</definedName>
    <definedName name="my_name_Ila" localSheetId="4">#REF!</definedName>
    <definedName name="my_name_Ila" localSheetId="5">#REF!</definedName>
    <definedName name="my_name_Ila" localSheetId="6">#REF!</definedName>
    <definedName name="my_name_Ila" localSheetId="0">#REF!</definedName>
    <definedName name="my_name_Ila">#REF!</definedName>
    <definedName name="nnn" localSheetId="4">#REF!</definedName>
    <definedName name="nnn" localSheetId="5">#REF!</definedName>
    <definedName name="nnn" localSheetId="6">#REF!</definedName>
    <definedName name="nnn" localSheetId="0">#REF!</definedName>
    <definedName name="nnn">#REF!</definedName>
    <definedName name="NNNN" localSheetId="4">#REF!</definedName>
    <definedName name="NNNN" localSheetId="5">#REF!</definedName>
    <definedName name="NNNN" localSheetId="6">#REF!</definedName>
    <definedName name="NNNN" localSheetId="0">#REF!</definedName>
    <definedName name="NNNN">#REF!</definedName>
    <definedName name="NNNNNNNNNNNNNNNN" localSheetId="4">#REF!</definedName>
    <definedName name="NNNNNNNNNNNNNNNN" localSheetId="5">#REF!</definedName>
    <definedName name="NNNNNNNNNNNNNNNN" localSheetId="6">#REF!</definedName>
    <definedName name="NNNNNNNNNNNNNNNN" localSheetId="0">#REF!</definedName>
    <definedName name="NNNNNNNNNNNNNNNN">#REF!</definedName>
    <definedName name="NNNNNNNNNNNNNNNNNNNNNNNNNNNNNNN" localSheetId="4">#REF!</definedName>
    <definedName name="NNNNNNNNNNNNNNNNNNNNNNNNNNNNNNN" localSheetId="5">#REF!</definedName>
    <definedName name="NNNNNNNNNNNNNNNNNNNNNNNNNNNNNNN" localSheetId="6">#REF!</definedName>
    <definedName name="NNNNNNNNNNNNNNNNNNNNNNNNNNNNNNN" localSheetId="0">#REF!</definedName>
    <definedName name="NNNNNNNNNNNNNNNNNNNNNNNNNNNNNNN">#REF!</definedName>
    <definedName name="NNNNNNNNNNNNNNNNNNNNNNNNNNNNNNNNNN" localSheetId="4">#REF!</definedName>
    <definedName name="NNNNNNNNNNNNNNNNNNNNNNNNNNNNNNNNNN" localSheetId="5">#REF!</definedName>
    <definedName name="NNNNNNNNNNNNNNNNNNNNNNNNNNNNNNNNNN" localSheetId="6">#REF!</definedName>
    <definedName name="NNNNNNNNNNNNNNNNNNNNNNNNNNNNNNNNNN" localSheetId="0">#REF!</definedName>
    <definedName name="NNNNNNNNNNNNNNNNNNNNNNNNNNNNNNNNNN">#REF!</definedName>
    <definedName name="NO" localSheetId="4">#REF!</definedName>
    <definedName name="NO" localSheetId="5">#REF!</definedName>
    <definedName name="NO" localSheetId="6">#REF!</definedName>
    <definedName name="NO" localSheetId="0">#REF!</definedName>
    <definedName name="NO">#REF!</definedName>
    <definedName name="OLE_LINK2" localSheetId="7">Sheet1!$G$61</definedName>
    <definedName name="OOO" localSheetId="4">#REF!</definedName>
    <definedName name="OOO" localSheetId="5">#REF!</definedName>
    <definedName name="OOO" localSheetId="6">#REF!</definedName>
    <definedName name="OOO" localSheetId="0">#REF!</definedName>
    <definedName name="OOO">#REF!</definedName>
    <definedName name="OOOOOOOOO" localSheetId="4">#REF!</definedName>
    <definedName name="OOOOOOOOO" localSheetId="5">#REF!</definedName>
    <definedName name="OOOOOOOOO" localSheetId="6">#REF!</definedName>
    <definedName name="OOOOOOOOO" localSheetId="0">#REF!</definedName>
    <definedName name="OOOOOOOOO">#REF!</definedName>
    <definedName name="PP" localSheetId="4">#REF!</definedName>
    <definedName name="PP" localSheetId="5">#REF!</definedName>
    <definedName name="PP" localSheetId="6">#REF!</definedName>
    <definedName name="PP" localSheetId="0">#REF!</definedName>
    <definedName name="PP">#REF!</definedName>
    <definedName name="ppmmay13" localSheetId="4">[6]Hidden!#REF!</definedName>
    <definedName name="ppmmay13" localSheetId="5">[6]Hidden!#REF!</definedName>
    <definedName name="ppmmay13" localSheetId="6">[6]Hidden!#REF!</definedName>
    <definedName name="ppmmay13" localSheetId="0">[6]Hidden!#REF!</definedName>
    <definedName name="ppmmay13">[6]Hidden!#REF!</definedName>
    <definedName name="PPP" localSheetId="4">#REF!</definedName>
    <definedName name="PPP" localSheetId="5">#REF!</definedName>
    <definedName name="PPP" localSheetId="6">#REF!</definedName>
    <definedName name="PPP" localSheetId="0">#REF!</definedName>
    <definedName name="PPP">#REF!</definedName>
    <definedName name="PPPPPPP" localSheetId="4">#REF!</definedName>
    <definedName name="PPPPPPP" localSheetId="5">#REF!</definedName>
    <definedName name="PPPPPPP" localSheetId="6">#REF!</definedName>
    <definedName name="PPPPPPP" localSheetId="0">#REF!</definedName>
    <definedName name="PPPPPPP">#REF!</definedName>
    <definedName name="_xlnm.Print_Area" localSheetId="3">'B1-RESPONSE &amp; B2-REPAIR'!$A$1:$U$37</definedName>
    <definedName name="_xlnm.Print_Area" localSheetId="4">'B3-SCHEDULED'!$A$1:$M$65</definedName>
    <definedName name="_xlnm.Print_Area" localSheetId="5">'B4-UPTIME'!$A$1:$AB$37</definedName>
    <definedName name="_xlnm.Print_Area" localSheetId="6">'B5-T&amp;C'!$A$1:$P$23</definedName>
    <definedName name="_xlnm.Print_Area" localSheetId="2">BEMSdar!$A$1:$O$34</definedName>
    <definedName name="_xlnm.Print_Area" localSheetId="1">KDI!$A$1:$I$11</definedName>
    <definedName name="_xlnm.Print_Titles" localSheetId="3">'B1-RESPONSE &amp; B2-REPAIR'!$21:$22</definedName>
    <definedName name="_xlnm.Print_Titles" localSheetId="4">'B3-SCHEDULED'!$19:$20</definedName>
    <definedName name="_xlnm.Print_Titles" localSheetId="5">'B4-UPTIME'!$17:$18</definedName>
    <definedName name="_xlnm.Print_Titles" localSheetId="6">'B5-T&amp;C'!$18:$18</definedName>
    <definedName name="QQQ" localSheetId="4">#REF!</definedName>
    <definedName name="QQQ" localSheetId="5">#REF!</definedName>
    <definedName name="QQQ" localSheetId="6">#REF!</definedName>
    <definedName name="QQQ" localSheetId="0">#REF!</definedName>
    <definedName name="QQQ">#REF!</definedName>
    <definedName name="REEEEEEEW" localSheetId="4">#REF!</definedName>
    <definedName name="REEEEEEEW" localSheetId="5">#REF!</definedName>
    <definedName name="REEEEEEEW" localSheetId="6">#REF!</definedName>
    <definedName name="REEEEEEEW" localSheetId="0">#REF!</definedName>
    <definedName name="REEEEEEEW">#REF!</definedName>
    <definedName name="REST" localSheetId="4">#REF!</definedName>
    <definedName name="REST" localSheetId="5">#REF!</definedName>
    <definedName name="REST" localSheetId="6">#REF!</definedName>
    <definedName name="REST" localSheetId="0">#REF!</definedName>
    <definedName name="REST">#REF!</definedName>
    <definedName name="rewc" localSheetId="4">#REF!</definedName>
    <definedName name="rewc" localSheetId="5">#REF!</definedName>
    <definedName name="rewc" localSheetId="6">#REF!</definedName>
    <definedName name="rewc" localSheetId="0">#REF!</definedName>
    <definedName name="rewc">#REF!</definedName>
    <definedName name="rewwrwer" localSheetId="4">[6]Hidden!#REF!</definedName>
    <definedName name="rewwrwer" localSheetId="5">[6]Hidden!#REF!</definedName>
    <definedName name="rewwrwer" localSheetId="6">[6]Hidden!#REF!</definedName>
    <definedName name="rewwrwer" localSheetId="0">[6]Hidden!#REF!</definedName>
    <definedName name="rewwrwer">[6]Hidden!#REF!</definedName>
    <definedName name="rfc" localSheetId="4">#REF!</definedName>
    <definedName name="rfc" localSheetId="5">#REF!</definedName>
    <definedName name="rfc" localSheetId="6">#REF!</definedName>
    <definedName name="rfc" localSheetId="0">#REF!</definedName>
    <definedName name="rfc">#REF!</definedName>
    <definedName name="rfdfsd" localSheetId="4">#REF!</definedName>
    <definedName name="rfdfsd" localSheetId="5">#REF!</definedName>
    <definedName name="rfdfsd" localSheetId="6">#REF!</definedName>
    <definedName name="rfdfsd" localSheetId="0">#REF!</definedName>
    <definedName name="rfdfsd">#REF!</definedName>
    <definedName name="RGCCCCCCSX" localSheetId="4">#REF!</definedName>
    <definedName name="RGCCCCCCSX" localSheetId="5">#REF!</definedName>
    <definedName name="RGCCCCCCSX" localSheetId="6">#REF!</definedName>
    <definedName name="RGCCCCCCSX" localSheetId="0">#REF!</definedName>
    <definedName name="RGCCCCCCSX">#REF!</definedName>
    <definedName name="rgfd" localSheetId="4">#REF!</definedName>
    <definedName name="rgfd" localSheetId="5">#REF!</definedName>
    <definedName name="rgfd" localSheetId="6">#REF!</definedName>
    <definedName name="rgfd" localSheetId="0">#REF!</definedName>
    <definedName name="rgfd">#REF!</definedName>
    <definedName name="rrhrdhdr" localSheetId="4">#REF!</definedName>
    <definedName name="rrhrdhdr" localSheetId="5">#REF!</definedName>
    <definedName name="rrhrdhdr" localSheetId="6">#REF!</definedName>
    <definedName name="rrhrdhdr" localSheetId="0">#REF!</definedName>
    <definedName name="rrhrdhdr">#REF!</definedName>
    <definedName name="RRRRRRRRRRRRRRRRRRR" localSheetId="4">#REF!</definedName>
    <definedName name="RRRRRRRRRRRRRRRRRRR" localSheetId="5">#REF!</definedName>
    <definedName name="RRRRRRRRRRRRRRRRRRR" localSheetId="6">#REF!</definedName>
    <definedName name="RRRRRRRRRRRRRRRRRRR" localSheetId="0">#REF!</definedName>
    <definedName name="RRRRRRRRRRRRRRRRRRR">#REF!</definedName>
    <definedName name="rtr" localSheetId="4">#REF!</definedName>
    <definedName name="rtr" localSheetId="5">#REF!</definedName>
    <definedName name="rtr" localSheetId="6">#REF!</definedName>
    <definedName name="rtr" localSheetId="0">#REF!</definedName>
    <definedName name="rtr">#REF!</definedName>
    <definedName name="rtwertert" localSheetId="4">#REF!</definedName>
    <definedName name="rtwertert" localSheetId="5">#REF!</definedName>
    <definedName name="rtwertert" localSheetId="6">#REF!</definedName>
    <definedName name="rtwertert" localSheetId="0">#REF!</definedName>
    <definedName name="rtwertert">#REF!</definedName>
    <definedName name="sdssfsf" localSheetId="4">#REF!</definedName>
    <definedName name="sdssfsf" localSheetId="5">#REF!</definedName>
    <definedName name="sdssfsf" localSheetId="6">#REF!</definedName>
    <definedName name="sdssfsf" localSheetId="0">#REF!</definedName>
    <definedName name="sdssfsf">#REF!</definedName>
    <definedName name="SiterSheet4" localSheetId="4">[6]Hidden!#REF!</definedName>
    <definedName name="SiterSheet4" localSheetId="5">[6]Hidden!#REF!</definedName>
    <definedName name="SiterSheet4" localSheetId="6">[6]Hidden!#REF!</definedName>
    <definedName name="SiterSheet4" localSheetId="0">[6]Hidden!#REF!</definedName>
    <definedName name="SiterSheet4">[6]Hidden!#REF!</definedName>
    <definedName name="SiteSheet" localSheetId="4">[6]Hidden!#REF!</definedName>
    <definedName name="SiteSheet" localSheetId="5">[6]Hidden!#REF!</definedName>
    <definedName name="SiteSheet" localSheetId="6">[6]Hidden!#REF!</definedName>
    <definedName name="SiteSheet" localSheetId="0">[6]Hidden!#REF!</definedName>
    <definedName name="SiteSheet">[6]Hidden!#REF!</definedName>
    <definedName name="ss" localSheetId="4">[7]Hidden!#REF!</definedName>
    <definedName name="ss" localSheetId="5">[7]Hidden!#REF!</definedName>
    <definedName name="ss" localSheetId="6">[7]Hidden!#REF!</definedName>
    <definedName name="ss" localSheetId="0">[7]Hidden!#REF!</definedName>
    <definedName name="ss">[7]Hidden!#REF!</definedName>
    <definedName name="SSSS" localSheetId="4">#REF!</definedName>
    <definedName name="SSSS" localSheetId="5">#REF!</definedName>
    <definedName name="SSSS" localSheetId="6">#REF!</definedName>
    <definedName name="SSSS" localSheetId="0">#REF!</definedName>
    <definedName name="SSSS">#REF!</definedName>
    <definedName name="SSSSSSSSSSS" localSheetId="4">#REF!</definedName>
    <definedName name="SSSSSSSSSSS" localSheetId="5">#REF!</definedName>
    <definedName name="SSSSSSSSSSS" localSheetId="6">#REF!</definedName>
    <definedName name="SSSSSSSSSSS" localSheetId="0">#REF!</definedName>
    <definedName name="SSSSSSSSSSS">#REF!</definedName>
    <definedName name="SSSSSSSSSSSS" localSheetId="4">'[4]Term Outstanding Payment'!#REF!</definedName>
    <definedName name="SSSSSSSSSSSS" localSheetId="5">'[4]Term Outstanding Payment'!#REF!</definedName>
    <definedName name="SSSSSSSSSSSS" localSheetId="6">'[4]Term Outstanding Payment'!#REF!</definedName>
    <definedName name="SSSSSSSSSSSS" localSheetId="0">'[4]Term Outstanding Payment'!#REF!</definedName>
    <definedName name="SSSSSSSSSSSS">'[4]Term Outstanding Payment'!#REF!</definedName>
    <definedName name="SSSSSSSSSSSSSS" localSheetId="4">#REF!</definedName>
    <definedName name="SSSSSSSSSSSSSS" localSheetId="5">#REF!</definedName>
    <definedName name="SSSSSSSSSSSSSS" localSheetId="6">#REF!</definedName>
    <definedName name="SSSSSSSSSSSSSS" localSheetId="0">#REF!</definedName>
    <definedName name="SSSSSSSSSSSSSS">#REF!</definedName>
    <definedName name="SSSSSSSSSSSSSSSSSSSSS" localSheetId="4">#REF!</definedName>
    <definedName name="SSSSSSSSSSSSSSSSSSSSS" localSheetId="5">#REF!</definedName>
    <definedName name="SSSSSSSSSSSSSSSSSSSSS" localSheetId="6">#REF!</definedName>
    <definedName name="SSSSSSSSSSSSSSSSSSSSS" localSheetId="0">#REF!</definedName>
    <definedName name="SSSSSSSSSSSSSSSSSSSSS">#REF!</definedName>
    <definedName name="SSSSSSSSSSSSSSSSSSSSSSSSSS" localSheetId="4">#REF!</definedName>
    <definedName name="SSSSSSSSSSSSSSSSSSSSSSSSSS" localSheetId="5">#REF!</definedName>
    <definedName name="SSSSSSSSSSSSSSSSSSSSSSSSSS" localSheetId="6">#REF!</definedName>
    <definedName name="SSSSSSSSSSSSSSSSSSSSSSSSSS" localSheetId="0">#REF!</definedName>
    <definedName name="SSSSSSSSSSSSSSSSSSSSSSSSSS">#REF!</definedName>
    <definedName name="SSSSSSSSSSSSSSSSSSSSSSSSSSSSSSS" localSheetId="4">#REF!</definedName>
    <definedName name="SSSSSSSSSSSSSSSSSSSSSSSSSSSSSSS" localSheetId="5">#REF!</definedName>
    <definedName name="SSSSSSSSSSSSSSSSSSSSSSSSSSSSSSS" localSheetId="6">#REF!</definedName>
    <definedName name="SSSSSSSSSSSSSSSSSSSSSSSSSSSSSSS" localSheetId="0">#REF!</definedName>
    <definedName name="SSSSSSSSSSSSSSSSSSSSSSSSSSSSSSS">#REF!</definedName>
    <definedName name="SUM" localSheetId="4">#REF!</definedName>
    <definedName name="SUM" localSheetId="5">#REF!</definedName>
    <definedName name="SUM" localSheetId="6">#REF!</definedName>
    <definedName name="SUM" localSheetId="0">#REF!</definedName>
    <definedName name="SUM">#REF!</definedName>
    <definedName name="tarikhcuti">'Public Holiday'!$A$3:$A$54</definedName>
    <definedName name="tertertyertert" localSheetId="4">#REF!</definedName>
    <definedName name="tertertyertert" localSheetId="5">#REF!</definedName>
    <definedName name="tertertyertert" localSheetId="6">#REF!</definedName>
    <definedName name="tertertyertert" localSheetId="0">#REF!</definedName>
    <definedName name="tertertyertert">#REF!</definedName>
    <definedName name="TickCell" localSheetId="4">#REF!</definedName>
    <definedName name="TickCell" localSheetId="5">#REF!</definedName>
    <definedName name="TickCell" localSheetId="6">#REF!</definedName>
    <definedName name="TickCell" localSheetId="0">#REF!</definedName>
    <definedName name="TickCell">#REF!</definedName>
    <definedName name="try" localSheetId="4">#REF!</definedName>
    <definedName name="try" localSheetId="5">#REF!</definedName>
    <definedName name="try" localSheetId="6">#REF!</definedName>
    <definedName name="try" localSheetId="0">#REF!</definedName>
    <definedName name="try">#REF!</definedName>
    <definedName name="tryrtyyu" localSheetId="4">[6]Hidden!#REF!</definedName>
    <definedName name="tryrtyyu" localSheetId="5">[6]Hidden!#REF!</definedName>
    <definedName name="tryrtyyu" localSheetId="6">[6]Hidden!#REF!</definedName>
    <definedName name="tryrtyyu" localSheetId="0">[6]Hidden!#REF!</definedName>
    <definedName name="tryrtyyu">[6]Hidden!#REF!</definedName>
    <definedName name="twewtweewt" localSheetId="4">#REF!</definedName>
    <definedName name="twewtweewt" localSheetId="5">#REF!</definedName>
    <definedName name="twewtweewt" localSheetId="6">#REF!</definedName>
    <definedName name="twewtweewt" localSheetId="0">#REF!</definedName>
    <definedName name="twewtweewt">#REF!</definedName>
    <definedName name="ukjj" localSheetId="4">#REF!</definedName>
    <definedName name="ukjj" localSheetId="5">#REF!</definedName>
    <definedName name="ukjj" localSheetId="6">#REF!</definedName>
    <definedName name="ukjj" localSheetId="0">#REF!</definedName>
    <definedName name="ukjj">#REF!</definedName>
    <definedName name="value">'[8]HWMS 1'!$D$2</definedName>
    <definedName name="VEEEEEEEEE" localSheetId="4">#REF!</definedName>
    <definedName name="VEEEEEEEEE" localSheetId="5">#REF!</definedName>
    <definedName name="VEEEEEEEEE" localSheetId="6">#REF!</definedName>
    <definedName name="VEEEEEEEEE" localSheetId="0">#REF!</definedName>
    <definedName name="VEEEEEEEEE">#REF!</definedName>
    <definedName name="vtecax" localSheetId="4">#REF!</definedName>
    <definedName name="vtecax" localSheetId="5">#REF!</definedName>
    <definedName name="vtecax" localSheetId="6">#REF!</definedName>
    <definedName name="vtecax" localSheetId="0">#REF!</definedName>
    <definedName name="vtecax">#REF!</definedName>
    <definedName name="WAE" localSheetId="4">#REF!</definedName>
    <definedName name="WAE" localSheetId="5">#REF!</definedName>
    <definedName name="WAE" localSheetId="6">#REF!</definedName>
    <definedName name="WAE" localSheetId="0">#REF!</definedName>
    <definedName name="WAE">#REF!</definedName>
    <definedName name="WEA" localSheetId="4">#REF!</definedName>
    <definedName name="WEA" localSheetId="5">#REF!</definedName>
    <definedName name="WEA" localSheetId="6">#REF!</definedName>
    <definedName name="WEA" localSheetId="0">#REF!</definedName>
    <definedName name="WEA">#REF!</definedName>
    <definedName name="Yes" localSheetId="4">#REF!</definedName>
    <definedName name="Yes" localSheetId="5">#REF!</definedName>
    <definedName name="Yes" localSheetId="6">#REF!</definedName>
    <definedName name="Yes" localSheetId="0">#REF!</definedName>
    <definedName name="Yes">#REF!</definedName>
    <definedName name="yttyrty" localSheetId="4">#REF!</definedName>
    <definedName name="yttyrty" localSheetId="5">#REF!</definedName>
    <definedName name="yttyrty" localSheetId="6">#REF!</definedName>
    <definedName name="yttyrty" localSheetId="0">#REF!</definedName>
    <definedName name="yttyrty">#REF!</definedName>
    <definedName name="zhGFFFDX" localSheetId="4">#REF!</definedName>
    <definedName name="zhGFFFDX" localSheetId="5">#REF!</definedName>
    <definedName name="zhGFFFDX" localSheetId="6">#REF!</definedName>
    <definedName name="zhGFFFDX" localSheetId="0">#REF!</definedName>
    <definedName name="zhGFFFDX">#REF!</definedName>
    <definedName name="ZZ" localSheetId="4">[7]Hidden!#REF!</definedName>
    <definedName name="ZZ" localSheetId="5">[7]Hidden!#REF!</definedName>
    <definedName name="ZZ" localSheetId="6">[7]Hidden!#REF!</definedName>
    <definedName name="ZZ" localSheetId="0">[7]Hidden!#REF!</definedName>
    <definedName name="ZZ">[7]Hidden!#REF!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4" i="5" l="1"/>
  <c r="AA35" i="5"/>
  <c r="Z33" i="5"/>
  <c r="Z34" i="5"/>
  <c r="Z35" i="5"/>
  <c r="Z36" i="5"/>
  <c r="Y33" i="5"/>
  <c r="Y34" i="5"/>
  <c r="Y35" i="5"/>
  <c r="Y36" i="5"/>
  <c r="T34" i="5"/>
  <c r="T35" i="5"/>
  <c r="T36" i="5"/>
  <c r="AA33" i="5" l="1"/>
  <c r="T33" i="5"/>
  <c r="Z29" i="5" l="1"/>
  <c r="Z30" i="5"/>
  <c r="Z31" i="5"/>
  <c r="Z32" i="5"/>
  <c r="Y29" i="5"/>
  <c r="Y30" i="5"/>
  <c r="AA30" i="5" s="1"/>
  <c r="Y31" i="5"/>
  <c r="Y32" i="5"/>
  <c r="AA32" i="5" s="1"/>
  <c r="T29" i="5"/>
  <c r="T30" i="5"/>
  <c r="T31" i="5"/>
  <c r="T32" i="5"/>
  <c r="AA31" i="5" l="1"/>
  <c r="AA29" i="5"/>
  <c r="R26" i="3" l="1"/>
  <c r="S26" i="3" s="1"/>
  <c r="R27" i="3"/>
  <c r="S27" i="3" s="1"/>
  <c r="Q26" i="3"/>
  <c r="Q27" i="3"/>
  <c r="N26" i="3"/>
  <c r="N27" i="3"/>
  <c r="L26" i="3"/>
  <c r="L27" i="3"/>
  <c r="T27" i="3" l="1"/>
  <c r="T26" i="3"/>
  <c r="R33" i="3"/>
  <c r="S33" i="3" s="1"/>
  <c r="Q33" i="3"/>
  <c r="N33" i="3"/>
  <c r="L33" i="3"/>
  <c r="T33" i="3" l="1"/>
  <c r="T24" i="5"/>
  <c r="T25" i="5"/>
  <c r="T26" i="5"/>
  <c r="T27" i="5"/>
  <c r="T28" i="5"/>
  <c r="R30" i="3" l="1"/>
  <c r="S30" i="3" s="1"/>
  <c r="Q30" i="3"/>
  <c r="N30" i="3"/>
  <c r="L30" i="3"/>
  <c r="T30" i="3" l="1"/>
  <c r="A20" i="5" l="1"/>
  <c r="A21" i="5" s="1"/>
  <c r="A22" i="5" s="1"/>
  <c r="A23" i="5" s="1"/>
  <c r="A24" i="5" s="1"/>
  <c r="A25" i="5" s="1"/>
  <c r="A26" i="5" s="1"/>
  <c r="A27" i="5" s="1"/>
  <c r="A28" i="5" s="1"/>
  <c r="A29" i="5" s="1"/>
  <c r="A30" i="5" s="1"/>
  <c r="A31" i="5" s="1"/>
  <c r="A32" i="5" s="1"/>
  <c r="A33" i="5" s="1"/>
  <c r="A25" i="3" l="1"/>
  <c r="A26" i="3" s="1"/>
  <c r="A27" i="3" s="1"/>
  <c r="R24" i="3" l="1"/>
  <c r="S24" i="3" s="1"/>
  <c r="Q24" i="3"/>
  <c r="N24" i="3"/>
  <c r="L24" i="3"/>
  <c r="T24" i="3" l="1"/>
  <c r="Z27" i="5"/>
  <c r="Y27" i="5"/>
  <c r="Z24" i="5"/>
  <c r="Z25" i="5"/>
  <c r="Z26" i="5"/>
  <c r="Z28" i="5"/>
  <c r="Y24" i="5"/>
  <c r="Y25" i="5"/>
  <c r="Y26" i="5"/>
  <c r="Y28" i="5"/>
  <c r="AA27" i="5" l="1"/>
  <c r="AA28" i="5"/>
  <c r="AA26" i="5"/>
  <c r="AA25" i="5"/>
  <c r="AA24" i="5"/>
  <c r="Z20" i="5" l="1"/>
  <c r="Z21" i="5"/>
  <c r="Z22" i="5"/>
  <c r="Z23" i="5"/>
  <c r="Y20" i="5"/>
  <c r="Y21" i="5"/>
  <c r="Y22" i="5"/>
  <c r="Y23" i="5"/>
  <c r="AA20" i="5" l="1"/>
  <c r="AA22" i="5"/>
  <c r="AA21" i="5"/>
  <c r="AA23" i="5"/>
  <c r="T20" i="5" l="1"/>
  <c r="T21" i="5"/>
  <c r="T22" i="5"/>
  <c r="T23" i="5"/>
  <c r="Z19" i="5" l="1"/>
  <c r="Y19" i="5"/>
  <c r="T19" i="5"/>
  <c r="L65" i="8"/>
  <c r="AA19" i="5" l="1"/>
  <c r="AA37" i="5" s="1"/>
  <c r="L21" i="2"/>
  <c r="L38" i="3" l="1"/>
  <c r="M38" i="3"/>
  <c r="R25" i="3" l="1"/>
  <c r="S25" i="3" s="1"/>
  <c r="Q25" i="3"/>
  <c r="N25" i="3"/>
  <c r="L25" i="3"/>
  <c r="T25" i="3" l="1"/>
  <c r="R16" i="10" l="1"/>
  <c r="X16" i="10" s="1"/>
  <c r="Z16" i="10" s="1"/>
  <c r="AB16" i="10" s="1"/>
  <c r="AC16" i="10" s="1"/>
  <c r="O16" i="10"/>
  <c r="M16" i="10"/>
  <c r="R15" i="10"/>
  <c r="T15" i="10" s="1"/>
  <c r="O15" i="10"/>
  <c r="M15" i="10"/>
  <c r="R14" i="10"/>
  <c r="T14" i="10" s="1"/>
  <c r="U14" i="10" s="1"/>
  <c r="O14" i="10"/>
  <c r="M14" i="10"/>
  <c r="R13" i="10"/>
  <c r="X13" i="10" s="1"/>
  <c r="Z13" i="10" s="1"/>
  <c r="AB13" i="10" s="1"/>
  <c r="AC13" i="10" s="1"/>
  <c r="O13" i="10"/>
  <c r="M13" i="10"/>
  <c r="R12" i="10"/>
  <c r="X12" i="10" s="1"/>
  <c r="Z12" i="10" s="1"/>
  <c r="AB12" i="10" s="1"/>
  <c r="AC12" i="10" s="1"/>
  <c r="O12" i="10"/>
  <c r="M12" i="10"/>
  <c r="R11" i="10"/>
  <c r="X11" i="10" s="1"/>
  <c r="Z11" i="10" s="1"/>
  <c r="AB11" i="10" s="1"/>
  <c r="AC11" i="10" s="1"/>
  <c r="O11" i="10"/>
  <c r="M11" i="10"/>
  <c r="R10" i="10"/>
  <c r="T10" i="10" s="1"/>
  <c r="O10" i="10"/>
  <c r="M10" i="10"/>
  <c r="R9" i="10"/>
  <c r="X9" i="10" s="1"/>
  <c r="Z9" i="10" s="1"/>
  <c r="AB9" i="10" s="1"/>
  <c r="AC9" i="10" s="1"/>
  <c r="O9" i="10"/>
  <c r="M9" i="10"/>
  <c r="T8" i="10"/>
  <c r="R8" i="10"/>
  <c r="X8" i="10" s="1"/>
  <c r="Z8" i="10" s="1"/>
  <c r="AB8" i="10" s="1"/>
  <c r="AC8" i="10" s="1"/>
  <c r="O8" i="10"/>
  <c r="M8" i="10"/>
  <c r="A8" i="10"/>
  <c r="A9" i="10" s="1"/>
  <c r="A10" i="10" s="1"/>
  <c r="A11" i="10" s="1"/>
  <c r="A12" i="10" s="1"/>
  <c r="A13" i="10" s="1"/>
  <c r="A14" i="10" s="1"/>
  <c r="A15" i="10" s="1"/>
  <c r="A16" i="10" s="1"/>
  <c r="S7" i="10"/>
  <c r="T7" i="10" s="1"/>
  <c r="U7" i="10" s="1"/>
  <c r="R7" i="10"/>
  <c r="X7" i="10" s="1"/>
  <c r="Z7" i="10" s="1"/>
  <c r="AB7" i="10" s="1"/>
  <c r="AC7" i="10" s="1"/>
  <c r="O7" i="10"/>
  <c r="M7" i="10"/>
  <c r="S6" i="10"/>
  <c r="T6" i="10" s="1"/>
  <c r="R6" i="10"/>
  <c r="X6" i="10" s="1"/>
  <c r="Z6" i="10" s="1"/>
  <c r="AB6" i="10" s="1"/>
  <c r="AC6" i="10" s="1"/>
  <c r="O6" i="10"/>
  <c r="M6" i="10"/>
  <c r="K5" i="6"/>
  <c r="R39" i="5"/>
  <c r="C39" i="5"/>
  <c r="E39" i="5" s="1"/>
  <c r="U5" i="5"/>
  <c r="J7" i="8"/>
  <c r="N37" i="3"/>
  <c r="L19" i="2" s="1"/>
  <c r="L23" i="2"/>
  <c r="E11" i="2"/>
  <c r="J9" i="8" s="1"/>
  <c r="X14" i="10" l="1"/>
  <c r="Z14" i="10" s="1"/>
  <c r="AB14" i="10" s="1"/>
  <c r="AC14" i="10" s="1"/>
  <c r="U6" i="10"/>
  <c r="N21" i="2"/>
  <c r="O21" i="2" s="1"/>
  <c r="U7" i="5"/>
  <c r="X10" i="10"/>
  <c r="Z10" i="10" s="1"/>
  <c r="AB10" i="10" s="1"/>
  <c r="AC10" i="10" s="1"/>
  <c r="N23" i="2"/>
  <c r="O23" i="2" s="1"/>
  <c r="L22" i="2"/>
  <c r="N22" i="2" s="1"/>
  <c r="O22" i="2" s="1"/>
  <c r="T16" i="10"/>
  <c r="U16" i="10" s="1"/>
  <c r="U10" i="10"/>
  <c r="T12" i="10"/>
  <c r="U12" i="10" s="1"/>
  <c r="N19" i="2"/>
  <c r="O19" i="2" s="1"/>
  <c r="U8" i="10"/>
  <c r="U15" i="10"/>
  <c r="T11" i="10"/>
  <c r="U11" i="10" s="1"/>
  <c r="X15" i="10"/>
  <c r="Z15" i="10" s="1"/>
  <c r="AB15" i="10" s="1"/>
  <c r="AC15" i="10" s="1"/>
  <c r="L10" i="3"/>
  <c r="K7" i="6"/>
  <c r="T9" i="10"/>
  <c r="U9" i="10" s="1"/>
  <c r="T13" i="10"/>
  <c r="U13" i="10" s="1"/>
  <c r="E13" i="2"/>
  <c r="T37" i="3"/>
  <c r="L20" i="2" s="1"/>
  <c r="L24" i="2" l="1"/>
  <c r="N24" i="2" s="1"/>
  <c r="O24" i="2" s="1"/>
  <c r="U17" i="10"/>
  <c r="J11" i="8"/>
  <c r="K9" i="6"/>
  <c r="L12" i="3"/>
  <c r="U9" i="5"/>
  <c r="N20" i="2"/>
  <c r="O2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9" authorId="0" shapeId="0" xr:uid="{00000000-0006-0000-0200-000001000000}">
      <text>
        <r>
          <rPr>
            <b/>
            <sz val="9"/>
            <color indexed="81"/>
            <rFont val="Tahoma"/>
            <family val="2"/>
          </rPr>
          <t>USER:</t>
        </r>
        <r>
          <rPr>
            <sz val="9"/>
            <color indexed="81"/>
            <rFont val="Tahoma"/>
            <family val="2"/>
          </rPr>
          <t xml:space="preserve">
fee strands: RM1,163,338.87</t>
        </r>
      </text>
    </comment>
  </commentList>
</comments>
</file>

<file path=xl/sharedStrings.xml><?xml version="1.0" encoding="utf-8"?>
<sst xmlns="http://schemas.openxmlformats.org/spreadsheetml/2006/main" count="1074" uniqueCount="525">
  <si>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</si>
  <si>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</si>
  <si>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</si>
  <si>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</si>
  <si>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</si>
  <si>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</si>
  <si>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</si>
  <si>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</si>
  <si>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</si>
  <si>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</si>
  <si>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</si>
  <si>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</si>
  <si>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</si>
  <si>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</si>
  <si>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</si>
  <si>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</si>
  <si>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</si>
  <si>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</si>
  <si>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</si>
  <si>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</si>
  <si>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</si>
  <si>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</si>
  <si>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</si>
  <si>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</si>
  <si>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</si>
  <si>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t>1</t>
    </r>
    <r>
      <rPr>
        <vertAlign val="superscript"/>
        <sz val="11"/>
        <color indexed="8"/>
        <rFont val="Tahoma"/>
        <family val="2"/>
      </rPr>
      <t>st</t>
    </r>
    <r>
      <rPr>
        <sz val="11"/>
        <color indexed="8"/>
        <rFont val="Tahoma"/>
        <family val="2"/>
      </rPr>
      <t xml:space="preserve"> level of Uptime Target (TRKPI)</t>
    </r>
  </si>
  <si>
    <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</si>
  <si>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</si>
  <si>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</si>
  <si>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</si>
  <si>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</si>
  <si>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</si>
  <si>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</si>
  <si>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</si>
  <si>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</si>
  <si>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</si>
  <si>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</si>
  <si>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</si>
  <si>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</si>
  <si>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</si>
  <si>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</si>
  <si>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</si>
  <si>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</si>
  <si>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</si>
  <si>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</si>
  <si>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MINISTRY OF HEALTH</t>
  </si>
  <si>
    <t>INDICATOR B.1  RESPONSE TIME &amp; B.2 REPAIR TIME</t>
  </si>
  <si>
    <t>HOSPITAL NAME :</t>
  </si>
  <si>
    <t>FIRST DATE OF THE MONTH :</t>
  </si>
  <si>
    <t>(For Calculation)</t>
  </si>
  <si>
    <t>STATE :</t>
  </si>
  <si>
    <t>LAST DATE OF THE MONTH :</t>
  </si>
  <si>
    <t>COMPANY :</t>
  </si>
  <si>
    <t>MONTH/YEAR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</si>
  <si>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</si>
  <si>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</si>
  <si>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</si>
  <si>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</si>
  <si>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</si>
  <si>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</si>
  <si>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</si>
  <si>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</si>
  <si>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Description</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</si>
  <si>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</si>
  <si>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</si>
  <si>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</si>
  <si>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</si>
  <si>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</si>
  <si>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</si>
  <si>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</si>
  <si>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</si>
  <si>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</si>
  <si>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</si>
  <si>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</si>
  <si>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</si>
  <si>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</si>
  <si>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Total Repair Time (day)</t>
  </si>
  <si>
    <t>Last date of 7 working days
(dd/mm/yy)</t>
  </si>
  <si>
    <t>Demerit Point</t>
  </si>
  <si>
    <t>Remarks/ Exemption</t>
  </si>
  <si>
    <t>TOTAL DEDUCTION FOR IND. B.1:</t>
  </si>
  <si>
    <t>TOTAL DEDUCTION FOR IND. B.2:</t>
  </si>
  <si>
    <t>INDICATOR B.3 SCHEDULED MAINTENANCE</t>
  </si>
  <si>
    <t>2) Deduction Value for Indicator B.3 is Deduction Ringgit Equivalent (per event)</t>
  </si>
  <si>
    <t>3) Rescheduled Date is the final rescheduled date if there are multiple rescheduling</t>
  </si>
  <si>
    <t>4) Display only asset affected by deduction</t>
  </si>
  <si>
    <t>Rescheduled Date</t>
  </si>
  <si>
    <t>Indicator B.3</t>
  </si>
  <si>
    <t>INDICATOR B.4 UPTIME GUARANTEE</t>
  </si>
  <si>
    <t>2) Deduction Value for 1st cut off is Deduction Ringgit Equivalent (per event)</t>
  </si>
  <si>
    <t>3) Deduction Value for 2nd cut off is Deduction Ringgit Equivalent (per event) multiply by 2</t>
  </si>
  <si>
    <t>No.</t>
  </si>
  <si>
    <t>Type Code</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</si>
  <si>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</si>
  <si>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</si>
  <si>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</si>
  <si>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</si>
  <si>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</si>
  <si>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</si>
  <si>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</si>
  <si>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</si>
  <si>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</si>
  <si>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</si>
  <si>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</si>
  <si>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</si>
  <si>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</si>
  <si>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</si>
  <si>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</si>
  <si>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</si>
  <si>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</si>
  <si>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</si>
  <si>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</si>
  <si>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</si>
  <si>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</si>
  <si>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</si>
  <si>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</si>
  <si>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</si>
  <si>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TOTAL DEDUCTION FOR IND. B.4:</t>
  </si>
  <si>
    <t>INDICATOR B.5 TESTING &amp; COMMISSIONING AND WARRANTY MANAGEMENT</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</si>
  <si>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</si>
  <si>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</si>
  <si>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</si>
  <si>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</si>
  <si>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</si>
  <si>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</si>
  <si>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</si>
  <si>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</si>
  <si>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</si>
  <si>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</si>
  <si>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</si>
  <si>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</si>
  <si>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</si>
  <si>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TOTAL DEDUCTION FOR IND. B.5:</t>
  </si>
  <si>
    <t>N</t>
  </si>
  <si>
    <t>AMBANG WIRA SDN BHD</t>
  </si>
  <si>
    <t>­</t>
  </si>
  <si>
    <t>Tarikh</t>
  </si>
  <si>
    <t>Hari</t>
  </si>
  <si>
    <t>Tahun Baru Cina</t>
  </si>
  <si>
    <t>Hari Pekerja</t>
  </si>
  <si>
    <t>Hari Wesak</t>
  </si>
  <si>
    <t>Hari Krismas</t>
  </si>
  <si>
    <t/>
  </si>
  <si>
    <t>Ambang Wira Sdn Bhd</t>
  </si>
  <si>
    <t xml:space="preserve">Date: </t>
  </si>
  <si>
    <t>Facility Manager</t>
  </si>
  <si>
    <r>
      <t>Deduction Mapping Report</t>
    </r>
    <r>
      <rPr>
        <sz val="8"/>
        <color theme="1"/>
        <rFont val="Calibri"/>
        <family val="2"/>
        <scheme val="minor"/>
      </rPr>
      <t xml:space="preserve">
</t>
    </r>
    <r>
      <rPr>
        <sz val="12"/>
        <color theme="1"/>
        <rFont val="Calibri"/>
        <family val="2"/>
        <scheme val="minor"/>
      </rPr>
      <t>Biomedical Engineering Maintenance Services (BEMS)</t>
    </r>
  </si>
  <si>
    <t>Head of BEMS</t>
  </si>
  <si>
    <t>Y</t>
  </si>
  <si>
    <t>Current Month (Open)</t>
  </si>
  <si>
    <t>wo</t>
  </si>
  <si>
    <t xml:space="preserve"> </t>
  </si>
  <si>
    <t>Scheduled Start Date</t>
  </si>
  <si>
    <t>Scheduled End Date</t>
  </si>
  <si>
    <t>Maintenance Date</t>
  </si>
  <si>
    <t>BEMS MONTHLY FEE (RM)
@ 97.5%   :</t>
  </si>
  <si>
    <t>FMS MONTHLY FEE (RM)
@ 2.5%   :</t>
  </si>
  <si>
    <t>BEMS MONTHLY FEE (RM)@ 97.5%   :</t>
  </si>
  <si>
    <t>IKN400966</t>
  </si>
  <si>
    <t>Cameras, Gamma</t>
  </si>
  <si>
    <t>Mattress Systems, Alternating-Pressure</t>
  </si>
  <si>
    <t>Sphygmomanometers, Electronic, Automatic</t>
  </si>
  <si>
    <t>Linear Accelerators</t>
  </si>
  <si>
    <t>Infusion Pumps, General-Purpose</t>
  </si>
  <si>
    <t>NM</t>
  </si>
  <si>
    <t>ID</t>
  </si>
  <si>
    <t>RT</t>
  </si>
  <si>
    <t>Cuti</t>
  </si>
  <si>
    <t>Negeri Berkenaan</t>
  </si>
  <si>
    <t>Tahun Baru</t>
  </si>
  <si>
    <t>Hari Kebangsaan</t>
  </si>
  <si>
    <t>* Subject to change (Tertakluk kepada perubahan), TBC - To be confirmed</t>
  </si>
  <si>
    <t>Response On_Time</t>
  </si>
  <si>
    <t>Equipments</t>
  </si>
  <si>
    <t>Group</t>
  </si>
  <si>
    <t>Operating Hours</t>
  </si>
  <si>
    <t>Operating Hours/WK (Days)</t>
  </si>
  <si>
    <t xml:space="preserve">Uptime Equipment      </t>
  </si>
  <si>
    <t>&lt; 5YRS</t>
  </si>
  <si>
    <t>5-10 YRS</t>
  </si>
  <si>
    <t xml:space="preserve">Uptime Equipment   </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</si>
  <si>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</si>
  <si>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</si>
  <si>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</si>
  <si>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</si>
  <si>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</si>
  <si>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</si>
  <si>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</si>
  <si>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</si>
  <si>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</si>
  <si>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</si>
  <si>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</si>
  <si>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</si>
  <si>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</si>
  <si>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</si>
  <si>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</si>
  <si>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</si>
  <si>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</si>
  <si>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</si>
  <si>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</si>
  <si>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</si>
  <si>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</si>
  <si>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</si>
  <si>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</si>
  <si>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</si>
  <si>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</si>
  <si>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</si>
  <si>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</si>
  <si>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</si>
  <si>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</si>
  <si>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</si>
  <si>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</si>
  <si>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</si>
  <si>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</si>
  <si>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</si>
  <si>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</si>
  <si>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</si>
  <si>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</si>
  <si>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</si>
  <si>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</si>
  <si>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</si>
  <si>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</si>
  <si>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</si>
  <si>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</si>
  <si>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</si>
  <si>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</si>
  <si>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</si>
  <si>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</si>
  <si>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</si>
  <si>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</si>
  <si>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</si>
  <si>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</si>
  <si>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</si>
  <si>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</si>
  <si>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</si>
  <si>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</si>
  <si>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</si>
  <si>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</si>
  <si>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</si>
  <si>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</si>
  <si>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</si>
  <si>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</si>
  <si>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</si>
  <si>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</si>
  <si>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</si>
  <si>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</si>
  <si>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</si>
  <si>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</si>
  <si>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</si>
  <si>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</si>
  <si>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</si>
  <si>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</si>
  <si>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</si>
  <si>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</si>
  <si>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</si>
  <si>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</si>
  <si>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</si>
  <si>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</si>
  <si>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</si>
  <si>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</si>
  <si>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</si>
  <si>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</si>
  <si>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</si>
  <si>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</si>
  <si>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IKN400967</t>
  </si>
  <si>
    <t>Normal</t>
  </si>
  <si>
    <t>RT159</t>
  </si>
  <si>
    <t>WAD 7A</t>
  </si>
  <si>
    <t>WAD 7B</t>
  </si>
  <si>
    <t>LINEAR ACCELERATOR</t>
  </si>
  <si>
    <t>IKN400973</t>
  </si>
  <si>
    <t>Scanning Systems, Computed Tomography</t>
  </si>
  <si>
    <t>Lazer Double</t>
  </si>
  <si>
    <t>IKN400292</t>
  </si>
  <si>
    <t>WAD 8A</t>
  </si>
  <si>
    <t>Infucient Pump-Mesin Problem</t>
  </si>
  <si>
    <t>IKN400151</t>
  </si>
  <si>
    <t>NB 355296</t>
  </si>
  <si>
    <t>IKN400350</t>
  </si>
  <si>
    <t>IKN400775</t>
  </si>
  <si>
    <t>Scanning Systems, Ultrasonic, General-Purpose</t>
  </si>
  <si>
    <t>IKN400567</t>
  </si>
  <si>
    <t>IKN400786</t>
  </si>
  <si>
    <t>Radiographic/Fluoroscopic Systems, Angiographic/Intervention</t>
  </si>
  <si>
    <t>Motor ripple mattress rosak</t>
  </si>
  <si>
    <t>Table verticle movement problem</t>
  </si>
  <si>
    <t>Ripple Mattress tidak boleh pump</t>
  </si>
  <si>
    <t xml:space="preserve">BP Set warna putih rosak. </t>
  </si>
  <si>
    <t>Ultrasound tidak keluar gambar</t>
  </si>
  <si>
    <t>MEGP detector one collision</t>
  </si>
  <si>
    <t>Request for user training at Radiology Department (Angio) on 23/10/2019.</t>
  </si>
  <si>
    <t>IKN400978</t>
  </si>
  <si>
    <t>sendingg image from vsim to mosaiq</t>
  </si>
  <si>
    <t>Contract</t>
  </si>
  <si>
    <t>Strands</t>
  </si>
  <si>
    <t>Previous Month (Open)</t>
  </si>
  <si>
    <t>Current Month (Work Order Completed)</t>
  </si>
  <si>
    <t>Current Month (Work Order Open)</t>
  </si>
  <si>
    <t>Previous Month (Work Order Open)</t>
  </si>
  <si>
    <t>Previous Month (Closed)</t>
  </si>
  <si>
    <t>Hours</t>
  </si>
  <si>
    <t>Total Hours</t>
  </si>
  <si>
    <t>Total Hours / Year</t>
  </si>
  <si>
    <t>Balance Uptime</t>
  </si>
  <si>
    <t>Uptime Percentage</t>
  </si>
  <si>
    <t>Uptime Deduction Yes / No</t>
  </si>
  <si>
    <t>Uptime TRKPI</t>
  </si>
  <si>
    <t>Yes</t>
  </si>
  <si>
    <t>55</t>
  </si>
  <si>
    <t>-</t>
  </si>
  <si>
    <r>
      <t xml:space="preserve">Deduction Mapping Report
</t>
    </r>
    <r>
      <rPr>
        <sz val="16"/>
        <rFont val="Arial"/>
        <family val="2"/>
      </rPr>
      <t>Biomedical Engineering Maintenance Services (BEMS)</t>
    </r>
  </si>
  <si>
    <t>TOTAL DEDUCTION FOR IND. B.3:</t>
  </si>
  <si>
    <t>Rabu</t>
  </si>
  <si>
    <t>Sabtu</t>
  </si>
  <si>
    <t>Isnin</t>
  </si>
  <si>
    <t>Tahun Baru Cina Hari Kedua</t>
  </si>
  <si>
    <t>Hari Thaipusam</t>
  </si>
  <si>
    <t>Hari Nuzul Al-Quran</t>
  </si>
  <si>
    <t>Hari Raya Aidilfitri Hari Kedua</t>
  </si>
  <si>
    <t>Hari Deepavali</t>
  </si>
  <si>
    <t>Hari Raya Aidilfitri</t>
  </si>
  <si>
    <r>
      <t xml:space="preserve">Deduction Mapping Report
</t>
    </r>
    <r>
      <rPr>
        <sz val="28"/>
        <rFont val="Calibri"/>
        <family val="2"/>
        <scheme val="minor"/>
      </rPr>
      <t>Biomedical Engineering Maintenance Services (BEMS)</t>
    </r>
  </si>
  <si>
    <t>HOSPITAL NAME:</t>
  </si>
  <si>
    <t>STATE:</t>
  </si>
  <si>
    <t>COMPANY:</t>
  </si>
  <si>
    <t>MONTH/YEAR:</t>
  </si>
  <si>
    <t>FMS MONTHLY FEE (RM) @ 2.5%   :</t>
  </si>
  <si>
    <r>
      <t>Deduction Mapping Report</t>
    </r>
    <r>
      <rPr>
        <sz val="16"/>
        <color theme="1"/>
        <rFont val="Arial"/>
        <family val="2"/>
      </rPr>
      <t xml:space="preserve">
Biomedical Engineering Maintenance Services (BEMS)</t>
    </r>
  </si>
  <si>
    <t>BEMS MONTHLY FEE (RM) @ 97.5 %  :</t>
  </si>
  <si>
    <r>
      <t xml:space="preserve">Deduction Mapping Report
</t>
    </r>
    <r>
      <rPr>
        <sz val="14"/>
        <rFont val="Arial"/>
        <family val="2"/>
      </rPr>
      <t>Biomedical Engineering Maintenance Services (BEMS)</t>
    </r>
  </si>
  <si>
    <t>BEMS MONTHLY FEE (RM) @ 97.5%   :</t>
  </si>
  <si>
    <t>MONTHLY SERVICE FEE (RM) :</t>
  </si>
  <si>
    <t xml:space="preserve">STATE: </t>
  </si>
  <si>
    <t xml:space="preserve">COMPANY: </t>
  </si>
  <si>
    <t>Work Order Close</t>
  </si>
  <si>
    <t>HOSPITAL ORANG ASLI GOMBAK</t>
  </si>
  <si>
    <t>WILAYAH PERSEKUTUAN  KUALA LUMPUR</t>
  </si>
  <si>
    <t>Hospital Orang Asli Gombak</t>
  </si>
  <si>
    <t>W.P. Kuala Lumpur</t>
  </si>
  <si>
    <t>WILAYAH PERSEKUTUAN KUALA LUMPUR</t>
  </si>
  <si>
    <t>Ahad</t>
  </si>
  <si>
    <t>Selangor</t>
  </si>
  <si>
    <t>Ambang Wira Sdn Bhd- Hospital Orang Asli Gombak</t>
  </si>
  <si>
    <t>JULIWATI BINTI MATSAH</t>
  </si>
  <si>
    <t>Khamis</t>
  </si>
  <si>
    <t>NUR ALIAH BINTI HUSSIN</t>
  </si>
  <si>
    <t>HOAG 10108</t>
  </si>
  <si>
    <t>Selasa</t>
  </si>
  <si>
    <t>Jumaat</t>
  </si>
  <si>
    <t>NA</t>
  </si>
  <si>
    <t>Work Order Open</t>
  </si>
  <si>
    <t>PPM DONE</t>
  </si>
  <si>
    <t>Breakdown</t>
  </si>
  <si>
    <t>HOAG 10414</t>
  </si>
  <si>
    <t>FUNDUS CAMERA</t>
  </si>
  <si>
    <t>DENTAL DELIVERY UNIT</t>
  </si>
  <si>
    <t>Hari Raya Haji</t>
  </si>
  <si>
    <t>Hari Keputeraan YDP Agong</t>
  </si>
  <si>
    <t>Cuti Hari Wesak</t>
  </si>
  <si>
    <t>Awal Muharram</t>
  </si>
  <si>
    <t>Maulidur Rasul</t>
  </si>
  <si>
    <t>Hari Malaysia</t>
  </si>
  <si>
    <t>Cuti Hari Deepavali</t>
  </si>
  <si>
    <t>Hari Keputeraan Sultan Selangor</t>
  </si>
  <si>
    <t>PATIENT MONITORING EQUIP. PHILLIP GOLDWAY</t>
  </si>
  <si>
    <t>HOAG 10043</t>
  </si>
  <si>
    <t>HOAG 10103</t>
  </si>
  <si>
    <t>HOAG 10001</t>
  </si>
  <si>
    <t>HOAG 10035</t>
  </si>
  <si>
    <t>HOAG 10200</t>
  </si>
  <si>
    <t xml:space="preserve">HOAG 10034 </t>
  </si>
  <si>
    <t>DEFIBRILLTOR ZOLL</t>
  </si>
  <si>
    <t xml:space="preserve">HEMATOLOGY ANALYSER, </t>
  </si>
  <si>
    <t>ELECTROCARDIOGRAPHS</t>
  </si>
  <si>
    <t>INFUSION PUMP</t>
  </si>
  <si>
    <t>ANGLE POISE LAMP</t>
  </si>
  <si>
    <t>HOAG 10373</t>
  </si>
  <si>
    <t>HOAG 10242</t>
  </si>
  <si>
    <t>17-882</t>
  </si>
  <si>
    <t>17-740</t>
  </si>
  <si>
    <t>&gt;10</t>
  </si>
  <si>
    <t>12-276</t>
  </si>
  <si>
    <t>11-407</t>
  </si>
  <si>
    <t xml:space="preserve"> 10-551</t>
  </si>
  <si>
    <t>12-636</t>
  </si>
  <si>
    <t>16-495</t>
  </si>
  <si>
    <t>11-165</t>
  </si>
  <si>
    <t>13-217</t>
  </si>
  <si>
    <t>DEFIBRILLATOR</t>
  </si>
  <si>
    <t>HOAGWIBE26001497</t>
  </si>
  <si>
    <t>HOAGWIBE26001520</t>
  </si>
  <si>
    <t>HOAG 10345</t>
  </si>
  <si>
    <t>HOAG 10217</t>
  </si>
  <si>
    <t>HOAG 10132</t>
  </si>
  <si>
    <t>HOAG 10277</t>
  </si>
  <si>
    <t>UNIT DENTAL</t>
  </si>
  <si>
    <t>BILIK SURGERI 3 (UNIT DENTAL)</t>
  </si>
  <si>
    <t>ADEC OFFICER UNIT DENTAL CHAIR AND STOOL</t>
  </si>
  <si>
    <t>OPTHALMOSCOPE</t>
  </si>
  <si>
    <t>WATER DISTILLER</t>
  </si>
  <si>
    <t>HOAG 10137</t>
  </si>
  <si>
    <t xml:space="preserve">TRIANGLE LOW SPEED HANDPIECE SURGERY 3 TIDAK BERFUNGSI </t>
  </si>
  <si>
    <t xml:space="preserve">DENTAL SUCTION PUMP EXTERNAL ROSAK </t>
  </si>
  <si>
    <t>15-612</t>
  </si>
  <si>
    <t>12-815</t>
  </si>
  <si>
    <t>11-134</t>
  </si>
  <si>
    <t>Cuti Hari Raya</t>
  </si>
  <si>
    <t>1/3/2026</t>
  </si>
  <si>
    <t>31/3/2026</t>
  </si>
  <si>
    <t>HOAGWIBE26002078</t>
  </si>
  <si>
    <t>HOAGWIBE26002169</t>
  </si>
  <si>
    <t>HOAGWIBE26002196</t>
  </si>
  <si>
    <t>HOAG 10420</t>
  </si>
  <si>
    <t>HOAGWIBE26002073</t>
  </si>
  <si>
    <t xml:space="preserve">HOAG 10043 </t>
  </si>
  <si>
    <t>DENTAL PAC SCALER TIDAK BERFUNGSI, TIADA GETARAN</t>
  </si>
  <si>
    <t xml:space="preserve"> HOAG 10187</t>
  </si>
  <si>
    <t xml:space="preserve">MESIN MONITOR VITAL SIGN MENUNJUKKAN BATTERY EXPIRED </t>
  </si>
  <si>
    <t xml:space="preserve">MESIN ULTRASOUND - SYSTEM ERROR,TAK BOLEH ON </t>
  </si>
  <si>
    <t>MESIN ZOLL X SERIES ECG TAK DAPAT READING</t>
  </si>
  <si>
    <t xml:space="preserve">UNIT KECEMASAN </t>
  </si>
  <si>
    <t xml:space="preserve">DEFIBRILLTOR </t>
  </si>
  <si>
    <t xml:space="preserve">PORTABLE CUTTING UNIT </t>
  </si>
  <si>
    <t>ULTRASOUND SCANNER</t>
  </si>
  <si>
    <t>HOAG 10125</t>
  </si>
  <si>
    <t>HOAGWOBE26001662</t>
  </si>
  <si>
    <t>HOAGWOBE26001663</t>
  </si>
  <si>
    <t>HOAGWOBE26001664</t>
  </si>
  <si>
    <t>HOAGWOBE26001665</t>
  </si>
  <si>
    <t>HOAGWOBE26001666</t>
  </si>
  <si>
    <t>HOAGWOBE26001667</t>
  </si>
  <si>
    <t>HOAGWOBE26001668</t>
  </si>
  <si>
    <t>HOAGWOBE26001669</t>
  </si>
  <si>
    <t>HOAGWOBE26001670</t>
  </si>
  <si>
    <t>HOAGWOBE26001671</t>
  </si>
  <si>
    <t>HOAGWOBE26001672</t>
  </si>
  <si>
    <t>HOAGWOBE26001673</t>
  </si>
  <si>
    <t>HOAGWOBE26001674</t>
  </si>
  <si>
    <t>HOAGWOBE26001675</t>
  </si>
  <si>
    <t>HOAGWOBE26001676</t>
  </si>
  <si>
    <t>HOAGWOBE26001677</t>
  </si>
  <si>
    <t>HOAGWOBE26001678</t>
  </si>
  <si>
    <t>HOAGWOBE26001679</t>
  </si>
  <si>
    <t>HOAGWOBE26001681</t>
  </si>
  <si>
    <t>HOAGWOBE26001682</t>
  </si>
  <si>
    <t>HOAGWOBE26001683</t>
  </si>
  <si>
    <t>HOAGWOBE26001684</t>
  </si>
  <si>
    <t>HOAGWOBE26001685</t>
  </si>
  <si>
    <t>HOAGWOBE26001686</t>
  </si>
  <si>
    <t>HOAGWOBE26001687</t>
  </si>
  <si>
    <t>HOAGWOBE26001688</t>
  </si>
  <si>
    <t>HOAGWOBE26001689</t>
  </si>
  <si>
    <t>HOAGWOBE26001690</t>
  </si>
  <si>
    <t>HOAGWOBE26001691</t>
  </si>
  <si>
    <t>HOAGWOBE26001692</t>
  </si>
  <si>
    <t>HOAGWOBE26001693</t>
  </si>
  <si>
    <t>HOAGWOBE26001694</t>
  </si>
  <si>
    <t>HOAGWOBE26001695</t>
  </si>
  <si>
    <t>HOAGWOBE26001696</t>
  </si>
  <si>
    <t>HOAGWOBE26001697</t>
  </si>
  <si>
    <t>HOAGWOBE26001698</t>
  </si>
  <si>
    <t>HOAGWOBE26001699</t>
  </si>
  <si>
    <t>HOAGWOBE26001700</t>
  </si>
  <si>
    <t>Scanning Systems, Ultrasonic, Abdominal</t>
  </si>
  <si>
    <t>Thermometer, Electronic</t>
  </si>
  <si>
    <t>DIGITAL THERMOMETER</t>
  </si>
  <si>
    <t>THERMOMETER,ELECTRONIC/DIGITAL (ZEAL)</t>
  </si>
  <si>
    <t>Infusion Pumps, General Purpose</t>
  </si>
  <si>
    <t>Infusion Pumps, Syringe</t>
  </si>
  <si>
    <t>VENTILATOR</t>
  </si>
  <si>
    <t>Incubators, Infant</t>
  </si>
  <si>
    <t>Nebulizers, Nonheated</t>
  </si>
  <si>
    <t>HOAG 10188</t>
  </si>
  <si>
    <t>HOAG 10095</t>
  </si>
  <si>
    <t>HOAG 10184</t>
  </si>
  <si>
    <t>HOAG 10185</t>
  </si>
  <si>
    <t>HOAG 10054</t>
  </si>
  <si>
    <t>HOAG 10249</t>
  </si>
  <si>
    <t>HOAG 10051</t>
  </si>
  <si>
    <t>HOAG10045</t>
  </si>
  <si>
    <t>HOAG10046</t>
  </si>
  <si>
    <t>HOAG 10047</t>
  </si>
  <si>
    <t>HOAG 10048</t>
  </si>
  <si>
    <t>HOAG 10049</t>
  </si>
  <si>
    <t>HOAG 10050</t>
  </si>
  <si>
    <t>HOAG 10192</t>
  </si>
  <si>
    <t>HOAG 10288</t>
  </si>
  <si>
    <t>HOAG 10264</t>
  </si>
  <si>
    <t>HOAG 10329</t>
  </si>
  <si>
    <t>HOAG 10330</t>
  </si>
  <si>
    <t>HOAG 10036</t>
  </si>
  <si>
    <t>HOAG 10037</t>
  </si>
  <si>
    <t>HOAG 10038</t>
  </si>
  <si>
    <t>HOAG 10068</t>
  </si>
  <si>
    <t>HOAG 10446</t>
  </si>
  <si>
    <t>HOAG 10372</t>
  </si>
  <si>
    <t>HOAG 10209</t>
  </si>
  <si>
    <t>HOAG 10210</t>
  </si>
  <si>
    <t>HOAG 10211</t>
  </si>
  <si>
    <t>HOAG 10212</t>
  </si>
  <si>
    <t>HOAG 10213</t>
  </si>
  <si>
    <t>HOAG 10216</t>
  </si>
  <si>
    <t>HOAG 10303</t>
  </si>
  <si>
    <t>HOAG 10279</t>
  </si>
  <si>
    <t>HOAG 10336</t>
  </si>
  <si>
    <t>HOAG 10323</t>
  </si>
  <si>
    <t>HOAG 10034</t>
  </si>
  <si>
    <t>HOAG 10066</t>
  </si>
  <si>
    <t>BILIK PEGAWAI PERUBATAN (UNIT KKIA)</t>
  </si>
  <si>
    <t>MAKMAL BIOKIMIA (UNIT PATOLOGI)</t>
  </si>
  <si>
    <t>BILIK PEMERIKSAAN (UNIT KKIA)</t>
  </si>
  <si>
    <t>BILIK RAWATAN 1 (UNIT OPD)</t>
  </si>
  <si>
    <t>BILIK RAWATAN</t>
  </si>
  <si>
    <t>RUANG SUB-STOR &amp; RUANG PEJABAT (UNIT FARMASI)</t>
  </si>
  <si>
    <t xml:space="preserve">BILIK UBAT </t>
  </si>
  <si>
    <t>WAD 1</t>
  </si>
  <si>
    <t>RUANG YELLOW ZONE</t>
  </si>
  <si>
    <t>BILIK OPTOMETRIST (UNIT OPD)</t>
  </si>
  <si>
    <t>BANGUNAN KECEMASAN &amp; KEMALANGAN</t>
  </si>
  <si>
    <t>WAD 4</t>
  </si>
  <si>
    <t xml:space="preserve">BILIK RAWATAN </t>
  </si>
  <si>
    <t>RUANG BERSALIN 2</t>
  </si>
  <si>
    <t>PANTRI (UNIT SPKAKOA)</t>
  </si>
  <si>
    <t>20-000</t>
  </si>
  <si>
    <t>16-241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</si>
</sst>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4" formatCode="0.00_ "/>
    <numFmt numFmtId="165" formatCode="[$-409]d\-mmm\-yy;@"/>
    <numFmt numFmtId="166" formatCode="[$-14409]d/m/yyyy;@"/>
    <numFmt numFmtId="167" formatCode="[$-14809]d/m/yyyy;@"/>
    <numFmt numFmtId="168" formatCode="[$-409]d\-mmm\-yyyy;@"/>
    <numFmt numFmtId="169" formatCode="d\ &quot;days&quot;\,\ h\ &quot;hrs&quot;\,\ mm\ &quot;mins&quot;"/>
    <numFmt numFmtId="170" formatCode="[$RM-4409]#,##0.00"/>
    <numFmt numFmtId="171" formatCode="h\ &quot;hrs&quot;\,\ mm\ &quot;mins&quot;"/>
    <numFmt numFmtId="172" formatCode="_(* #,##0_);_(* \(#,##0\);_(* &quot;-&quot;_);_(@_)"/>
    <numFmt numFmtId="173" formatCode="_(* #,##0.00_);_(* \(#,##0.00\);_(* &quot;-&quot;??_);_(@_)"/>
    <numFmt numFmtId="174" formatCode="[$-14409]dd/mm/yyyy;@"/>
    <numFmt numFmtId="175" formatCode="yyyy\-mm\-dd;@"/>
    <numFmt numFmtId="176" formatCode="0.0"/>
  </numFmts>
  <fonts count="118" x14ac:knownFonts="1">
    <font>
      <sz val="11"/>
      <color theme="1"/>
      <name val="Calibri"/>
      <family val="2"/>
      <scheme val="minor"/>
    </font>
    <font>
      <sz val="11"/>
      <color theme="1"/>
      <name val="Calibri"/>
      <family val="2"/>
      <scheme val="minor"/>
    </font>
    <font>
      <b/>
      <sz val="11"/>
      <color theme="1"/>
      <name val="Calibri"/>
      <family val="2"/>
      <scheme val="minor"/>
    </font>
    <font>
      <b/>
      <sz val="11"/>
      <name val="Tahoma"/>
      <family val="2"/>
    </font>
    <font>
      <sz val="11"/>
      <name val="Tahoma"/>
      <family val="2"/>
    </font>
    <font>
      <sz val="11"/>
      <color theme="1"/>
      <name val="Tahoma"/>
      <family val="2"/>
    </font>
    <font>
      <sz val="11"/>
      <color rgb="FF000000"/>
      <name val="Tahoma"/>
      <family val="2"/>
    </font>
    <font>
      <vertAlign val="superscript"/>
      <sz val="11"/>
      <color indexed="8"/>
      <name val="Tahoma"/>
      <family val="2"/>
    </font>
    <font>
      <sz val="11"/>
      <color indexed="8"/>
      <name val="Tahoma"/>
      <family val="2"/>
    </font>
    <font>
      <sz val="10"/>
      <name val="Arial"/>
      <family val="2"/>
    </font>
    <font>
      <b/>
      <sz val="14"/>
      <name val="Arial"/>
      <family val="2"/>
    </font>
    <font>
      <sz val="12"/>
      <name val="Arial"/>
      <family val="2"/>
    </font>
    <font>
      <sz val="12"/>
      <color theme="1"/>
      <name val="Calibri"/>
      <family val="2"/>
      <scheme val="minor"/>
    </font>
    <font>
      <sz val="11"/>
      <color theme="1"/>
      <name val="Arial"/>
      <family val="2"/>
    </font>
    <font>
      <sz val="11"/>
      <color indexed="8"/>
      <name val="Calibri"/>
      <family val="2"/>
    </font>
    <font>
      <b/>
      <sz val="11"/>
      <color indexed="8"/>
      <name val="Calibri"/>
      <family val="2"/>
    </font>
    <font>
      <sz val="11"/>
      <color indexed="8"/>
      <name val="Calibri"/>
      <family val="2"/>
    </font>
    <font>
      <sz val="11"/>
      <color indexed="8"/>
      <name val="Calibri"/>
      <family val="2"/>
    </font>
    <font>
      <sz val="11"/>
      <color indexed="9"/>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sz val="10"/>
      <color indexed="8"/>
      <name val="Arial"/>
      <family val="2"/>
    </font>
    <font>
      <sz val="10"/>
      <name val="Arial Narrow"/>
      <family val="2"/>
    </font>
    <font>
      <sz val="11"/>
      <color indexed="14"/>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13"/>
      <name val="Calibri"/>
      <family val="2"/>
    </font>
    <font>
      <b/>
      <sz val="11"/>
      <color indexed="13"/>
      <name val="Calibri"/>
      <family val="2"/>
    </font>
    <font>
      <sz val="10"/>
      <color theme="1"/>
      <name val="Calibri"/>
      <family val="2"/>
    </font>
    <font>
      <b/>
      <sz val="14"/>
      <name val="Arial"/>
      <family val="2"/>
    </font>
    <font>
      <sz val="11"/>
      <color theme="1"/>
      <name val="Calibri"/>
      <family val="2"/>
      <scheme val="minor"/>
    </font>
    <font>
      <sz val="8"/>
      <color theme="1"/>
      <name val="Calibri"/>
      <family val="2"/>
      <scheme val="minor"/>
    </font>
    <font>
      <sz val="10"/>
      <name val="Arial"/>
      <family val="2"/>
    </font>
    <font>
      <sz val="9"/>
      <color theme="1"/>
      <name val="Calibri"/>
      <family val="2"/>
      <scheme val="minor"/>
    </font>
    <font>
      <b/>
      <sz val="9"/>
      <color theme="1"/>
      <name val="Calibri"/>
      <family val="2"/>
      <scheme val="minor"/>
    </font>
    <font>
      <sz val="8"/>
      <name val="Arial"/>
      <family val="2"/>
    </font>
    <font>
      <b/>
      <sz val="9"/>
      <name val="Arial"/>
      <family val="2"/>
    </font>
    <font>
      <sz val="9"/>
      <name val="Arial"/>
      <family val="2"/>
    </font>
    <font>
      <sz val="9"/>
      <color rgb="FF000000"/>
      <name val="Arial"/>
      <family val="2"/>
    </font>
    <font>
      <sz val="11"/>
      <color indexed="8"/>
      <name val="Calibri"/>
      <family val="2"/>
    </font>
    <font>
      <sz val="11"/>
      <color theme="1"/>
      <name val="Calibri"/>
      <family val="2"/>
      <scheme val="minor"/>
    </font>
    <font>
      <sz val="12"/>
      <color theme="1"/>
      <name val="Arial"/>
      <family val="2"/>
    </font>
    <font>
      <b/>
      <sz val="14"/>
      <color theme="1"/>
      <name val="Calibri"/>
      <family val="2"/>
      <scheme val="minor"/>
    </font>
    <font>
      <b/>
      <sz val="14"/>
      <name val="Tahoma"/>
      <family val="2"/>
    </font>
    <font>
      <sz val="14"/>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6"/>
      <color theme="1"/>
      <name val="Arial"/>
      <family val="2"/>
    </font>
    <font>
      <sz val="16"/>
      <name val="Arial"/>
      <family val="2"/>
    </font>
    <font>
      <b/>
      <sz val="16"/>
      <name val="Arial"/>
      <family val="2"/>
    </font>
    <font>
      <sz val="8"/>
      <color theme="1"/>
      <name val="Arial"/>
      <family val="2"/>
    </font>
    <font>
      <vertAlign val="superscript"/>
      <sz val="8"/>
      <color theme="1"/>
      <name val="Arial"/>
      <family val="2"/>
    </font>
    <font>
      <sz val="9"/>
      <color theme="1"/>
      <name val="Arial"/>
      <family val="2"/>
    </font>
    <font>
      <sz val="10"/>
      <color theme="1"/>
      <name val="Arial"/>
      <family val="2"/>
    </font>
    <font>
      <b/>
      <sz val="10"/>
      <name val="Arial"/>
      <family val="2"/>
    </font>
    <font>
      <b/>
      <sz val="10"/>
      <color theme="1"/>
      <name val="Arial"/>
      <family val="2"/>
    </font>
    <font>
      <b/>
      <sz val="9"/>
      <color theme="1"/>
      <name val="Arial"/>
      <family val="2"/>
    </font>
    <font>
      <sz val="10"/>
      <color theme="1"/>
      <name val="Calibri"/>
      <family val="2"/>
      <scheme val="minor"/>
    </font>
    <font>
      <sz val="11"/>
      <color rgb="FF0000CC"/>
      <name val="Calibri"/>
      <family val="2"/>
      <scheme val="minor"/>
    </font>
    <font>
      <sz val="8"/>
      <name val="Calibri"/>
      <family val="2"/>
      <scheme val="minor"/>
    </font>
    <font>
      <sz val="9"/>
      <color indexed="81"/>
      <name val="Tahoma"/>
      <family val="2"/>
    </font>
    <font>
      <b/>
      <sz val="9"/>
      <color indexed="81"/>
      <name val="Tahoma"/>
      <family val="2"/>
    </font>
    <font>
      <b/>
      <sz val="16"/>
      <name val="Calibri"/>
      <family val="2"/>
      <scheme val="minor"/>
    </font>
    <font>
      <sz val="16"/>
      <name val="Tahoma"/>
      <family val="2"/>
    </font>
    <font>
      <i/>
      <sz val="16"/>
      <name val="Tahoma"/>
      <family val="2"/>
    </font>
    <font>
      <sz val="16"/>
      <name val="Calibri"/>
      <family val="2"/>
      <scheme val="minor"/>
    </font>
    <font>
      <b/>
      <sz val="16"/>
      <name val="Tahoma"/>
      <family val="2"/>
    </font>
    <font>
      <sz val="24"/>
      <name val="Arial"/>
      <family val="2"/>
    </font>
    <font>
      <b/>
      <sz val="24"/>
      <name val="Arial"/>
      <family val="2"/>
    </font>
    <font>
      <sz val="14"/>
      <name val="Calibri"/>
      <family val="2"/>
      <scheme val="minor"/>
    </font>
    <font>
      <b/>
      <sz val="24"/>
      <name val="Calibri"/>
      <family val="2"/>
      <scheme val="minor"/>
    </font>
    <font>
      <sz val="24"/>
      <name val="Calibri"/>
      <family val="2"/>
      <scheme val="minor"/>
    </font>
    <font>
      <sz val="20"/>
      <name val="Calibri"/>
      <family val="2"/>
      <scheme val="minor"/>
    </font>
    <font>
      <sz val="28"/>
      <name val="Arial"/>
      <family val="2"/>
    </font>
    <font>
      <b/>
      <sz val="28"/>
      <name val="Arial"/>
      <family val="2"/>
    </font>
    <font>
      <b/>
      <sz val="28"/>
      <name val="Calibri"/>
      <family val="2"/>
      <scheme val="minor"/>
    </font>
    <font>
      <sz val="28"/>
      <name val="Calibri"/>
      <family val="2"/>
      <scheme val="minor"/>
    </font>
    <font>
      <i/>
      <sz val="28"/>
      <name val="Calibri"/>
      <family val="2"/>
      <scheme val="minor"/>
    </font>
    <font>
      <sz val="26"/>
      <name val="Arial"/>
      <family val="2"/>
    </font>
    <font>
      <b/>
      <sz val="26"/>
      <name val="Arial"/>
      <family val="2"/>
    </font>
    <font>
      <sz val="14"/>
      <color theme="1"/>
      <name val="Arial"/>
      <family val="2"/>
    </font>
    <font>
      <sz val="14"/>
      <name val="Arial"/>
      <family val="2"/>
    </font>
    <font>
      <b/>
      <sz val="14"/>
      <color theme="1"/>
      <name val="Arial"/>
      <family val="2"/>
    </font>
    <font>
      <b/>
      <sz val="12"/>
      <name val="Arial"/>
      <family val="2"/>
    </font>
    <font>
      <b/>
      <sz val="12"/>
      <color theme="1"/>
      <name val="Arial"/>
      <family val="2"/>
    </font>
    <font>
      <i/>
      <sz val="14"/>
      <name val="Arial"/>
      <family val="2"/>
    </font>
    <font>
      <b/>
      <i/>
      <sz val="14"/>
      <color rgb="FF0070C0"/>
      <name val="Arial"/>
      <family val="2"/>
    </font>
    <font>
      <sz val="14"/>
      <color theme="0"/>
      <name val="Arial"/>
      <family val="2"/>
    </font>
    <font>
      <i/>
      <sz val="12"/>
      <name val="Arial"/>
      <family val="2"/>
    </font>
    <font>
      <b/>
      <i/>
      <sz val="12"/>
      <color rgb="FF0070C0"/>
      <name val="Arial"/>
      <family val="2"/>
    </font>
    <font>
      <sz val="12"/>
      <color theme="0"/>
      <name val="Arial"/>
      <family val="2"/>
    </font>
    <font>
      <i/>
      <sz val="9"/>
      <color theme="1"/>
      <name val="Arial"/>
      <family val="2"/>
    </font>
    <font>
      <b/>
      <i/>
      <sz val="16"/>
      <name val="Tahoma"/>
      <family val="2"/>
    </font>
    <font>
      <sz val="12"/>
      <color rgb="FFFF0000"/>
      <name val="Arial"/>
      <family val="2"/>
    </font>
    <font>
      <sz val="28"/>
      <color theme="1"/>
      <name val="Arial"/>
      <family val="2"/>
    </font>
    <font>
      <sz val="11"/>
      <color rgb="FF9C5700"/>
      <name val="Calibri"/>
      <family val="2"/>
      <scheme val="minor"/>
    </font>
    <font>
      <sz val="11"/>
      <name val="Calibri"/>
      <family val="2"/>
      <scheme val="minor"/>
    </font>
    <font>
      <b/>
      <sz val="11"/>
      <color theme="1"/>
      <name val="Arial"/>
      <family val="2"/>
    </font>
  </fonts>
  <fills count="65">
    <fill>
      <patternFill patternType="none"/>
    </fill>
    <fill>
      <patternFill patternType="gray125"/>
    </fill>
    <fill>
      <patternFill patternType="solid">
        <fgColor rgb="FFCCCC00"/>
        <bgColor indexed="64"/>
      </patternFill>
    </fill>
    <fill>
      <patternFill patternType="solid">
        <fgColor theme="0"/>
        <bgColor indexed="64"/>
      </patternFill>
    </fill>
    <fill>
      <patternFill patternType="solid">
        <fgColor theme="4" tint="0.59999389629810485"/>
        <bgColor indexed="64"/>
      </patternFill>
    </fill>
    <fill>
      <patternFill patternType="solid">
        <fgColor rgb="FF89E0FF"/>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indexed="27"/>
      </patternFill>
    </fill>
    <fill>
      <patternFill patternType="solid">
        <fgColor indexed="9"/>
      </patternFill>
    </fill>
    <fill>
      <patternFill patternType="solid">
        <fgColor indexed="26"/>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3"/>
      </patternFill>
    </fill>
    <fill>
      <patternFill patternType="solid">
        <fgColor indexed="55"/>
      </patternFill>
    </fill>
    <fill>
      <patternFill patternType="solid">
        <fgColor indexed="51"/>
      </patternFill>
    </fill>
    <fill>
      <patternFill patternType="solid">
        <fgColor indexed="45"/>
      </patternFill>
    </fill>
    <fill>
      <patternFill patternType="solid">
        <fgColor indexed="29"/>
      </patternFill>
    </fill>
    <fill>
      <patternFill patternType="solid">
        <fgColor indexed="56"/>
      </patternFill>
    </fill>
    <fill>
      <patternFill patternType="solid">
        <fgColor indexed="54"/>
      </patternFill>
    </fill>
    <fill>
      <patternFill patternType="solid">
        <fgColor indexed="13"/>
      </patternFill>
    </fill>
    <fill>
      <patternFill patternType="solid">
        <fgColor indexed="46"/>
      </patternFill>
    </fill>
    <fill>
      <patternFill patternType="solid">
        <fgColor rgb="FFFFFF00"/>
        <bgColor indexed="64"/>
      </patternFill>
    </fill>
    <fill>
      <patternFill patternType="solid">
        <fgColor rgb="FF33C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bgColor indexed="64"/>
      </patternFill>
    </fill>
    <fill>
      <patternFill patternType="solid">
        <fgColor rgb="FFD9D9D9"/>
        <bgColor indexed="64"/>
      </patternFill>
    </fill>
    <fill>
      <patternFill patternType="solid">
        <fgColor rgb="FF00FFFF"/>
        <bgColor indexed="64"/>
      </patternFill>
    </fill>
    <fill>
      <patternFill patternType="solid">
        <fgColor rgb="FFFF9999"/>
        <bgColor indexed="64"/>
      </patternFill>
    </fill>
    <fill>
      <patternFill patternType="solid">
        <fgColor rgb="FF00CCFF"/>
        <bgColor indexed="64"/>
      </patternFill>
    </fill>
    <fill>
      <patternFill patternType="solid">
        <fgColor rgb="FFFFE699"/>
        <bgColor indexed="64"/>
      </patternFill>
    </fill>
    <fill>
      <patternFill patternType="solid">
        <fgColor theme="0"/>
        <bgColor theme="4" tint="0.59999389629810485"/>
      </patternFill>
    </fill>
  </fills>
  <borders count="6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s>
  <cellStyleXfs count="151">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xf numFmtId="0" fontId="14" fillId="0" borderId="0" applyFill="0" applyProtection="0"/>
    <xf numFmtId="0" fontId="16" fillId="0" borderId="0" applyFill="0" applyProtection="0"/>
    <xf numFmtId="0" fontId="17" fillId="0" borderId="0" applyFill="0" applyProtection="0"/>
    <xf numFmtId="0" fontId="1" fillId="0" borderId="0"/>
    <xf numFmtId="0" fontId="14" fillId="12" borderId="0" applyNumberFormat="0" applyBorder="0" applyAlignment="0" applyProtection="0"/>
    <xf numFmtId="0" fontId="14" fillId="20" borderId="0" applyNumberFormat="0" applyBorder="0" applyAlignment="0" applyProtection="0"/>
    <xf numFmtId="0" fontId="14" fillId="11" borderId="0" applyNumberFormat="0" applyBorder="0" applyAlignment="0" applyProtection="0"/>
    <xf numFmtId="0" fontId="14" fillId="13"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4" fillId="9" borderId="0" applyNumberFormat="0" applyBorder="0" applyAlignment="0" applyProtection="0"/>
    <xf numFmtId="0" fontId="14" fillId="20"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8" fillId="9"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15" borderId="0" applyNumberFormat="0" applyBorder="0" applyAlignment="0" applyProtection="0"/>
    <xf numFmtId="0" fontId="18" fillId="23" borderId="0" applyNumberFormat="0" applyBorder="0" applyAlignment="0" applyProtection="0"/>
    <xf numFmtId="0" fontId="28" fillId="24" borderId="0" applyNumberFormat="0" applyBorder="0" applyAlignment="0" applyProtection="0"/>
    <xf numFmtId="0" fontId="34" fillId="10" borderId="34" applyNumberFormat="0" applyAlignment="0" applyProtection="0"/>
    <xf numFmtId="0" fontId="19" fillId="17" borderId="35" applyNumberFormat="0" applyAlignment="0" applyProtection="0"/>
    <xf numFmtId="0" fontId="20" fillId="0" borderId="0" applyNumberFormat="0" applyFill="0" applyBorder="0" applyAlignment="0" applyProtection="0"/>
    <xf numFmtId="0" fontId="21" fillId="9" borderId="0" applyNumberFormat="0" applyBorder="0" applyAlignment="0" applyProtection="0"/>
    <xf numFmtId="0" fontId="29" fillId="0" borderId="38" applyNumberFormat="0" applyFill="0" applyAlignment="0" applyProtection="0"/>
    <xf numFmtId="0" fontId="30" fillId="0" borderId="39" applyNumberFormat="0" applyFill="0" applyAlignment="0" applyProtection="0"/>
    <xf numFmtId="0" fontId="31" fillId="0" borderId="40" applyNumberFormat="0" applyFill="0" applyAlignment="0" applyProtection="0"/>
    <xf numFmtId="0" fontId="31" fillId="0" borderId="0" applyNumberFormat="0" applyFill="0" applyBorder="0" applyAlignment="0" applyProtection="0"/>
    <xf numFmtId="0" fontId="22" fillId="14" borderId="34" applyNumberFormat="0" applyAlignment="0" applyProtection="0"/>
    <xf numFmtId="0" fontId="33" fillId="0" borderId="41" applyNumberFormat="0" applyFill="0" applyAlignment="0" applyProtection="0"/>
    <xf numFmtId="0" fontId="2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26" fillId="0" borderId="0"/>
    <xf numFmtId="0" fontId="26" fillId="0" borderId="0"/>
    <xf numFmtId="0" fontId="26"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6" fillId="11" borderId="36" applyNumberFormat="0" applyFont="0" applyAlignment="0" applyProtection="0"/>
    <xf numFmtId="0" fontId="24" fillId="10" borderId="37" applyNumberFormat="0" applyAlignment="0" applyProtection="0"/>
    <xf numFmtId="0" fontId="32" fillId="0" borderId="0" applyNumberFormat="0" applyFill="0" applyBorder="0" applyAlignment="0" applyProtection="0"/>
    <xf numFmtId="0" fontId="15" fillId="0" borderId="42" applyNumberFormat="0" applyFill="0" applyAlignment="0" applyProtection="0"/>
    <xf numFmtId="0" fontId="25" fillId="0" borderId="0" applyNumberFormat="0" applyFill="0" applyBorder="0" applyAlignment="0" applyProtection="0"/>
    <xf numFmtId="0" fontId="46" fillId="0" borderId="0" applyFill="0" applyProtection="0"/>
    <xf numFmtId="43" fontId="9" fillId="0" borderId="0" applyFont="0" applyFill="0" applyBorder="0" applyAlignment="0" applyProtection="0"/>
    <xf numFmtId="43" fontId="9" fillId="0" borderId="0" applyFont="0" applyFill="0" applyBorder="0" applyAlignment="0" applyProtection="0"/>
    <xf numFmtId="0" fontId="14" fillId="0" borderId="0" applyFill="0" applyProtection="0"/>
    <xf numFmtId="0" fontId="14" fillId="0" borderId="0" applyFill="0" applyProtection="0"/>
    <xf numFmtId="0" fontId="14" fillId="0" borderId="0" applyFill="0" applyProtection="0"/>
    <xf numFmtId="0" fontId="52" fillId="0" borderId="0" applyNumberFormat="0" applyFill="0" applyBorder="0" applyAlignment="0" applyProtection="0"/>
    <xf numFmtId="0" fontId="53" fillId="0" borderId="43" applyNumberFormat="0" applyFill="0" applyAlignment="0" applyProtection="0"/>
    <xf numFmtId="0" fontId="54" fillId="0" borderId="44" applyNumberFormat="0" applyFill="0" applyAlignment="0" applyProtection="0"/>
    <xf numFmtId="0" fontId="55" fillId="0" borderId="45" applyNumberFormat="0" applyFill="0" applyAlignment="0" applyProtection="0"/>
    <xf numFmtId="0" fontId="55" fillId="0" borderId="0" applyNumberFormat="0" applyFill="0" applyBorder="0" applyAlignment="0" applyProtection="0"/>
    <xf numFmtId="0" fontId="56" fillId="27" borderId="0" applyNumberFormat="0" applyBorder="0" applyAlignment="0" applyProtection="0"/>
    <xf numFmtId="0" fontId="57" fillId="28" borderId="0" applyNumberFormat="0" applyBorder="0" applyAlignment="0" applyProtection="0"/>
    <xf numFmtId="0" fontId="58" fillId="30" borderId="46" applyNumberFormat="0" applyAlignment="0" applyProtection="0"/>
    <xf numFmtId="0" fontId="59" fillId="31" borderId="47" applyNumberFormat="0" applyAlignment="0" applyProtection="0"/>
    <xf numFmtId="0" fontId="60" fillId="31" borderId="46" applyNumberFormat="0" applyAlignment="0" applyProtection="0"/>
    <xf numFmtId="0" fontId="61" fillId="0" borderId="48" applyNumberFormat="0" applyFill="0" applyAlignment="0" applyProtection="0"/>
    <xf numFmtId="0" fontId="62" fillId="32" borderId="49" applyNumberFormat="0" applyAlignment="0" applyProtection="0"/>
    <xf numFmtId="0" fontId="63" fillId="0" borderId="0" applyNumberFormat="0" applyFill="0" applyBorder="0" applyAlignment="0" applyProtection="0"/>
    <xf numFmtId="0" fontId="1" fillId="33" borderId="50" applyNumberFormat="0" applyFont="0" applyAlignment="0" applyProtection="0"/>
    <xf numFmtId="0" fontId="64" fillId="0" borderId="0" applyNumberFormat="0" applyFill="0" applyBorder="0" applyAlignment="0" applyProtection="0"/>
    <xf numFmtId="0" fontId="2" fillId="0" borderId="51" applyNumberFormat="0" applyFill="0" applyAlignment="0" applyProtection="0"/>
    <xf numFmtId="0" fontId="6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5"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5"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5"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5"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65"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66" fillId="29" borderId="0" applyNumberFormat="0" applyBorder="0" applyAlignment="0" applyProtection="0"/>
    <xf numFmtId="0" fontId="65" fillId="37" borderId="0" applyNumberFormat="0" applyBorder="0" applyAlignment="0" applyProtection="0"/>
    <xf numFmtId="0" fontId="65" fillId="41" borderId="0" applyNumberFormat="0" applyBorder="0" applyAlignment="0" applyProtection="0"/>
    <xf numFmtId="0" fontId="65" fillId="45" borderId="0" applyNumberFormat="0" applyBorder="0" applyAlignment="0" applyProtection="0"/>
    <xf numFmtId="0" fontId="65" fillId="49" borderId="0" applyNumberFormat="0" applyBorder="0" applyAlignment="0" applyProtection="0"/>
    <xf numFmtId="0" fontId="65" fillId="53" borderId="0" applyNumberFormat="0" applyBorder="0" applyAlignment="0" applyProtection="0"/>
    <xf numFmtId="0" fontId="65" fillId="57" borderId="0" applyNumberFormat="0" applyBorder="0" applyAlignment="0" applyProtection="0"/>
    <xf numFmtId="41"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9" fillId="0" borderId="0"/>
    <xf numFmtId="172" fontId="1" fillId="0" borderId="0" applyFont="0" applyFill="0" applyBorder="0" applyAlignment="0" applyProtection="0"/>
    <xf numFmtId="0" fontId="115" fillId="29"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16" fillId="0" borderId="0"/>
    <xf numFmtId="173" fontId="1" fillId="0" borderId="0" applyFont="0" applyFill="0" applyBorder="0" applyAlignment="0" applyProtection="0"/>
  </cellStyleXfs>
  <cellXfs count="687">
    <xf numFmtId="0" fontId="0" fillId="0" borderId="0" xfId="0"/>
    <xf numFmtId="0" fontId="4" fillId="0" borderId="0" xfId="0" applyFont="1" applyAlignment="1">
      <alignment horizontal="center" vertical="center"/>
    </xf>
    <xf numFmtId="0" fontId="3" fillId="2" borderId="10" xfId="0" applyFont="1" applyFill="1" applyBorder="1" applyAlignment="1">
      <alignment horizontal="center" vertical="center" wrapText="1"/>
    </xf>
    <xf numFmtId="0" fontId="5" fillId="0" borderId="13" xfId="0" applyFont="1" applyBorder="1" applyAlignment="1">
      <alignment horizontal="center" vertical="center"/>
    </xf>
    <xf numFmtId="0" fontId="5" fillId="0" borderId="17" xfId="0" applyFont="1" applyBorder="1" applyAlignment="1">
      <alignment horizontal="center" vertical="center" wrapText="1"/>
    </xf>
    <xf numFmtId="0" fontId="5" fillId="0" borderId="0" xfId="0" applyFont="1"/>
    <xf numFmtId="0" fontId="5" fillId="0" borderId="18" xfId="0" applyFont="1" applyBorder="1" applyAlignment="1">
      <alignment horizontal="center" vertical="center"/>
    </xf>
    <xf numFmtId="0" fontId="5" fillId="0" borderId="1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6" fillId="0" borderId="24" xfId="0" applyFont="1" applyBorder="1" applyAlignment="1">
      <alignment horizontal="center" vertical="center" wrapText="1" readingOrder="1"/>
    </xf>
    <xf numFmtId="0" fontId="5" fillId="0" borderId="25" xfId="0" applyFont="1" applyBorder="1" applyAlignment="1">
      <alignment horizontal="center" vertical="center" wrapText="1" readingOrder="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Alignment="1">
      <alignment vertical="center"/>
    </xf>
    <xf numFmtId="9" fontId="5" fillId="0" borderId="0" xfId="2" applyFont="1" applyAlignment="1">
      <alignment vertical="center"/>
    </xf>
    <xf numFmtId="0" fontId="5" fillId="0" borderId="22"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164" fontId="10" fillId="0" borderId="0" xfId="3" applyNumberFormat="1" applyFont="1" applyAlignment="1">
      <alignment vertical="center" wrapText="1"/>
    </xf>
    <xf numFmtId="164" fontId="10" fillId="0" borderId="0" xfId="3" applyNumberFormat="1" applyFont="1" applyAlignment="1">
      <alignment vertical="top" wrapText="1"/>
    </xf>
    <xf numFmtId="164" fontId="36" fillId="3" borderId="0" xfId="3" applyNumberFormat="1" applyFont="1" applyFill="1" applyAlignment="1">
      <alignment vertical="center" wrapText="1"/>
    </xf>
    <xf numFmtId="164" fontId="36" fillId="3" borderId="0" xfId="3" applyNumberFormat="1" applyFont="1" applyFill="1" applyAlignment="1">
      <alignment vertical="top" wrapText="1"/>
    </xf>
    <xf numFmtId="0" fontId="40" fillId="3" borderId="0" xfId="0" applyFont="1" applyFill="1" applyAlignment="1">
      <alignment vertical="center"/>
    </xf>
    <xf numFmtId="0" fontId="40" fillId="3" borderId="0" xfId="0" applyFont="1" applyFill="1" applyAlignment="1">
      <alignment horizontal="right" vertical="center"/>
    </xf>
    <xf numFmtId="0" fontId="40" fillId="3" borderId="0" xfId="0" applyFont="1" applyFill="1" applyAlignment="1">
      <alignment vertical="center" wrapText="1"/>
    </xf>
    <xf numFmtId="0" fontId="40" fillId="3" borderId="0" xfId="0" applyFont="1" applyFill="1" applyAlignment="1">
      <alignment horizontal="left" vertical="center"/>
    </xf>
    <xf numFmtId="4" fontId="41" fillId="3" borderId="0" xfId="0" applyNumberFormat="1" applyFont="1" applyFill="1" applyAlignment="1">
      <alignment horizontal="right" vertical="center"/>
    </xf>
    <xf numFmtId="0" fontId="47" fillId="0" borderId="0" xfId="0" applyFont="1" applyAlignment="1">
      <alignment vertical="center"/>
    </xf>
    <xf numFmtId="0" fontId="47" fillId="0" borderId="0" xfId="0" applyFont="1"/>
    <xf numFmtId="0" fontId="47" fillId="0" borderId="0" xfId="0" applyFont="1" applyAlignment="1">
      <alignment horizontal="center" vertical="center"/>
    </xf>
    <xf numFmtId="43" fontId="47" fillId="0" borderId="0" xfId="1" applyFont="1" applyAlignment="1">
      <alignment vertical="center"/>
    </xf>
    <xf numFmtId="49" fontId="47" fillId="0" borderId="0" xfId="0" applyNumberFormat="1" applyFont="1" applyAlignment="1">
      <alignment vertical="center"/>
    </xf>
    <xf numFmtId="4" fontId="47" fillId="0" borderId="0" xfId="0" applyNumberFormat="1" applyFont="1" applyAlignment="1">
      <alignment vertical="center"/>
    </xf>
    <xf numFmtId="4" fontId="47" fillId="0" borderId="0" xfId="0" applyNumberFormat="1" applyFont="1" applyAlignment="1">
      <alignment horizontal="center" vertical="center"/>
    </xf>
    <xf numFmtId="0" fontId="47" fillId="0" borderId="0" xfId="0" applyFont="1" applyAlignment="1">
      <alignment horizontal="center"/>
    </xf>
    <xf numFmtId="0" fontId="50" fillId="3" borderId="0" xfId="0" applyFont="1" applyFill="1" applyAlignment="1">
      <alignment horizontal="center" vertical="center"/>
    </xf>
    <xf numFmtId="0" fontId="0" fillId="0" borderId="0" xfId="0" applyAlignment="1">
      <alignment horizontal="left" vertical="center"/>
    </xf>
    <xf numFmtId="164" fontId="42" fillId="3" borderId="0" xfId="3" applyNumberFormat="1" applyFont="1" applyFill="1" applyAlignment="1">
      <alignment horizontal="left" vertical="center" wrapText="1"/>
    </xf>
    <xf numFmtId="4" fontId="42" fillId="3" borderId="0" xfId="3" applyNumberFormat="1" applyFont="1" applyFill="1" applyAlignment="1">
      <alignment horizontal="center" vertical="center" wrapText="1"/>
    </xf>
    <xf numFmtId="4" fontId="42" fillId="3" borderId="0" xfId="3" applyNumberFormat="1" applyFont="1" applyFill="1" applyAlignment="1">
      <alignment horizontal="right" vertical="center" wrapText="1"/>
    </xf>
    <xf numFmtId="0" fontId="39" fillId="3" borderId="0" xfId="3" applyFont="1" applyFill="1" applyAlignment="1">
      <alignment vertical="center" wrapText="1"/>
    </xf>
    <xf numFmtId="164" fontId="42" fillId="3" borderId="0" xfId="3" quotePrefix="1" applyNumberFormat="1" applyFont="1" applyFill="1" applyAlignment="1">
      <alignment horizontal="center" vertical="center" wrapText="1"/>
    </xf>
    <xf numFmtId="0" fontId="39" fillId="3" borderId="0" xfId="3" applyFont="1" applyFill="1"/>
    <xf numFmtId="0" fontId="37" fillId="3" borderId="0" xfId="0" applyFont="1" applyFill="1" applyAlignment="1">
      <alignment vertical="center"/>
    </xf>
    <xf numFmtId="3" fontId="43" fillId="3" borderId="23" xfId="3" applyNumberFormat="1" applyFont="1" applyFill="1" applyBorder="1" applyAlignment="1">
      <alignment horizontal="center" vertical="center" wrapText="1"/>
    </xf>
    <xf numFmtId="2" fontId="43" fillId="3" borderId="23" xfId="3" applyNumberFormat="1" applyFont="1" applyFill="1" applyBorder="1" applyAlignment="1">
      <alignment horizontal="center" vertical="center"/>
    </xf>
    <xf numFmtId="3" fontId="43" fillId="3" borderId="23" xfId="3" applyNumberFormat="1" applyFont="1" applyFill="1" applyBorder="1" applyAlignment="1">
      <alignment horizontal="center" vertical="center"/>
    </xf>
    <xf numFmtId="0" fontId="44" fillId="3" borderId="0" xfId="3" applyFont="1" applyFill="1"/>
    <xf numFmtId="0" fontId="44" fillId="3" borderId="28" xfId="3" applyFont="1" applyFill="1" applyBorder="1"/>
    <xf numFmtId="0" fontId="43" fillId="3" borderId="0" xfId="3" applyFont="1" applyFill="1"/>
    <xf numFmtId="43" fontId="47" fillId="0" borderId="0" xfId="1" applyFont="1" applyAlignment="1">
      <alignment horizontal="center" vertical="center"/>
    </xf>
    <xf numFmtId="43" fontId="47" fillId="0" borderId="0" xfId="1" applyFont="1" applyAlignment="1">
      <alignment horizontal="center"/>
    </xf>
    <xf numFmtId="0" fontId="49" fillId="0" borderId="0" xfId="0" applyFont="1" applyAlignment="1">
      <alignment horizontal="center" vertical="center"/>
    </xf>
    <xf numFmtId="0" fontId="9" fillId="3" borderId="0" xfId="3" applyFill="1"/>
    <xf numFmtId="0" fontId="9" fillId="0" borderId="0" xfId="3"/>
    <xf numFmtId="0" fontId="9" fillId="0" borderId="52" xfId="3" applyBorder="1" applyAlignment="1">
      <alignment horizontal="left" wrapText="1"/>
    </xf>
    <xf numFmtId="0" fontId="9" fillId="0" borderId="52" xfId="3" applyBorder="1"/>
    <xf numFmtId="165" fontId="9" fillId="0" borderId="52" xfId="3" applyNumberFormat="1" applyBorder="1" applyAlignment="1">
      <alignment horizontal="center" wrapText="1"/>
    </xf>
    <xf numFmtId="0" fontId="68" fillId="0" borderId="0" xfId="3" applyFont="1" applyAlignment="1">
      <alignment vertical="center" wrapText="1"/>
    </xf>
    <xf numFmtId="0" fontId="70" fillId="0" borderId="60" xfId="0" applyFont="1" applyBorder="1" applyAlignment="1">
      <alignment horizontal="center" vertical="center" wrapText="1"/>
    </xf>
    <xf numFmtId="0" fontId="70" fillId="0" borderId="61" xfId="0" applyFont="1" applyBorder="1" applyAlignment="1">
      <alignment horizontal="center" vertical="center" wrapText="1"/>
    </xf>
    <xf numFmtId="9" fontId="70" fillId="0" borderId="61" xfId="0" applyNumberFormat="1" applyFont="1" applyBorder="1" applyAlignment="1">
      <alignment horizontal="center" vertical="center" wrapText="1"/>
    </xf>
    <xf numFmtId="4" fontId="48" fillId="0" borderId="0" xfId="0" applyNumberFormat="1" applyFont="1" applyAlignment="1">
      <alignment horizontal="center" vertical="center"/>
    </xf>
    <xf numFmtId="0" fontId="0" fillId="0" borderId="0" xfId="0" applyAlignment="1">
      <alignment horizontal="left"/>
    </xf>
    <xf numFmtId="0" fontId="70" fillId="0" borderId="58" xfId="0" applyFont="1" applyBorder="1" applyAlignment="1">
      <alignment horizontal="left" vertical="center" wrapText="1"/>
    </xf>
    <xf numFmtId="0" fontId="73" fillId="0" borderId="23" xfId="3" applyFont="1" applyBorder="1" applyAlignment="1">
      <alignment horizontal="center" vertical="center" wrapText="1"/>
    </xf>
    <xf numFmtId="0" fontId="9" fillId="3" borderId="23" xfId="0" applyFont="1" applyFill="1" applyBorder="1" applyAlignment="1">
      <alignment horizontal="left" vertical="center"/>
    </xf>
    <xf numFmtId="0" fontId="73" fillId="0" borderId="33" xfId="0" applyFont="1" applyBorder="1" applyAlignment="1">
      <alignment horizontal="left" vertical="center" wrapText="1"/>
    </xf>
    <xf numFmtId="43" fontId="9" fillId="0" borderId="23" xfId="1" applyFont="1" applyFill="1" applyBorder="1" applyAlignment="1">
      <alignment horizontal="left" vertical="center" wrapText="1"/>
    </xf>
    <xf numFmtId="49" fontId="9" fillId="60" borderId="23" xfId="0" quotePrefix="1" applyNumberFormat="1" applyFont="1" applyFill="1" applyBorder="1" applyAlignment="1">
      <alignment horizontal="center" vertical="center"/>
    </xf>
    <xf numFmtId="0" fontId="73" fillId="0" borderId="30" xfId="0" applyFont="1" applyBorder="1" applyAlignment="1">
      <alignment vertical="center" wrapText="1"/>
    </xf>
    <xf numFmtId="0" fontId="9" fillId="3" borderId="23" xfId="0" applyFont="1" applyFill="1" applyBorder="1" applyAlignment="1">
      <alignment horizontal="left" vertical="center" wrapText="1"/>
    </xf>
    <xf numFmtId="0" fontId="73" fillId="0" borderId="23" xfId="0" applyFont="1" applyBorder="1" applyAlignment="1">
      <alignment horizontal="center" vertical="center" wrapText="1"/>
    </xf>
    <xf numFmtId="20" fontId="73" fillId="58" borderId="52" xfId="0" applyNumberFormat="1" applyFont="1" applyFill="1" applyBorder="1" applyAlignment="1">
      <alignment horizontal="center" vertical="center" wrapText="1"/>
    </xf>
    <xf numFmtId="0" fontId="73" fillId="0" borderId="23" xfId="0" applyFont="1" applyBorder="1" applyAlignment="1">
      <alignment horizontal="left" vertical="center" wrapText="1"/>
    </xf>
    <xf numFmtId="167" fontId="73" fillId="0" borderId="52" xfId="0" quotePrefix="1" applyNumberFormat="1" applyFont="1" applyBorder="1" applyAlignment="1">
      <alignment horizontal="center" vertical="center" wrapText="1"/>
    </xf>
    <xf numFmtId="43" fontId="9" fillId="0" borderId="23" xfId="1" applyFont="1" applyFill="1" applyBorder="1" applyAlignment="1">
      <alignment horizontal="center" vertical="center" wrapText="1"/>
    </xf>
    <xf numFmtId="43" fontId="74" fillId="0" borderId="23" xfId="3" applyNumberFormat="1" applyFont="1" applyBorder="1" applyAlignment="1">
      <alignment horizontal="left" vertical="center" wrapText="1"/>
    </xf>
    <xf numFmtId="0" fontId="9" fillId="0" borderId="23" xfId="3" applyBorder="1" applyAlignment="1">
      <alignment horizontal="center" vertical="center" wrapText="1"/>
    </xf>
    <xf numFmtId="1" fontId="9" fillId="0" borderId="23" xfId="0" applyNumberFormat="1" applyFont="1" applyBorder="1" applyAlignment="1">
      <alignment horizontal="center" vertical="center" wrapText="1" shrinkToFit="1"/>
    </xf>
    <xf numFmtId="166" fontId="9" fillId="0" borderId="23" xfId="0" applyNumberFormat="1" applyFont="1" applyBorder="1" applyAlignment="1">
      <alignment horizontal="left" vertical="center" wrapText="1" shrinkToFit="1"/>
    </xf>
    <xf numFmtId="1" fontId="9" fillId="0" borderId="52" xfId="0" applyNumberFormat="1" applyFont="1" applyBorder="1" applyAlignment="1">
      <alignment horizontal="center" vertical="center" wrapText="1" shrinkToFit="1"/>
    </xf>
    <xf numFmtId="43" fontId="9" fillId="0" borderId="23" xfId="3" applyNumberFormat="1" applyBorder="1" applyAlignment="1">
      <alignment horizontal="center" vertical="center" wrapText="1"/>
    </xf>
    <xf numFmtId="0" fontId="73" fillId="0" borderId="55" xfId="3" applyFont="1" applyBorder="1" applyAlignment="1">
      <alignment horizontal="left" vertical="center" wrapText="1"/>
    </xf>
    <xf numFmtId="0" fontId="73" fillId="0" borderId="52" xfId="3" applyFont="1" applyBorder="1" applyAlignment="1">
      <alignment horizontal="left" vertical="center" wrapText="1"/>
    </xf>
    <xf numFmtId="0" fontId="75" fillId="0" borderId="0" xfId="3" applyFont="1" applyAlignment="1">
      <alignment horizontal="left" vertical="center" wrapText="1"/>
    </xf>
    <xf numFmtId="0" fontId="9" fillId="0" borderId="23" xfId="0" applyFont="1" applyBorder="1" applyAlignment="1">
      <alignment horizontal="center" vertical="center" wrapText="1"/>
    </xf>
    <xf numFmtId="0" fontId="9" fillId="0" borderId="23" xfId="0" applyFont="1" applyBorder="1" applyAlignment="1">
      <alignment horizontal="left" vertical="center" wrapText="1"/>
    </xf>
    <xf numFmtId="1" fontId="9" fillId="61" borderId="52" xfId="0" applyNumberFormat="1" applyFont="1" applyFill="1" applyBorder="1" applyAlignment="1">
      <alignment horizontal="center" vertical="center" wrapText="1"/>
    </xf>
    <xf numFmtId="0" fontId="9" fillId="0" borderId="30" xfId="0" applyFont="1" applyBorder="1" applyAlignment="1">
      <alignment horizontal="center" vertical="center" wrapText="1"/>
    </xf>
    <xf numFmtId="0" fontId="9" fillId="0" borderId="52" xfId="0" applyFont="1" applyBorder="1" applyAlignment="1">
      <alignment horizontal="left" vertical="center" wrapText="1"/>
    </xf>
    <xf numFmtId="20" fontId="9" fillId="58" borderId="52" xfId="0" applyNumberFormat="1" applyFont="1" applyFill="1" applyBorder="1" applyAlignment="1">
      <alignment horizontal="center" vertical="center" wrapText="1"/>
    </xf>
    <xf numFmtId="167" fontId="9" fillId="0" borderId="52" xfId="0" applyNumberFormat="1" applyFont="1" applyBorder="1" applyAlignment="1">
      <alignment horizontal="center" vertical="center" wrapText="1"/>
    </xf>
    <xf numFmtId="167" fontId="9" fillId="0" borderId="52" xfId="0" quotePrefix="1" applyNumberFormat="1" applyFont="1" applyBorder="1" applyAlignment="1">
      <alignment horizontal="center" vertical="center" wrapText="1"/>
    </xf>
    <xf numFmtId="166" fontId="9" fillId="0" borderId="23" xfId="0" applyNumberFormat="1" applyFont="1" applyBorder="1" applyAlignment="1">
      <alignment horizontal="center" vertical="center" wrapText="1" shrinkToFit="1"/>
    </xf>
    <xf numFmtId="0" fontId="9" fillId="0" borderId="55" xfId="3" applyBorder="1" applyAlignment="1">
      <alignment horizontal="left" vertical="center" wrapText="1"/>
    </xf>
    <xf numFmtId="0" fontId="9" fillId="0" borderId="52" xfId="3" applyBorder="1" applyAlignment="1">
      <alignment horizontal="left" vertical="center" wrapText="1"/>
    </xf>
    <xf numFmtId="0" fontId="9" fillId="0" borderId="0" xfId="3" applyAlignment="1">
      <alignment vertical="center" wrapText="1"/>
    </xf>
    <xf numFmtId="0" fontId="73" fillId="0" borderId="52" xfId="0" applyFont="1" applyBorder="1" applyAlignment="1">
      <alignment horizontal="left" vertical="center" wrapText="1"/>
    </xf>
    <xf numFmtId="43" fontId="73" fillId="0" borderId="52" xfId="1" applyFont="1" applyBorder="1" applyAlignment="1">
      <alignment horizontal="left" vertical="center" wrapText="1"/>
    </xf>
    <xf numFmtId="0" fontId="73" fillId="0" borderId="52" xfId="0" applyFont="1" applyBorder="1" applyAlignment="1">
      <alignment horizontal="center" vertical="center" wrapText="1"/>
    </xf>
    <xf numFmtId="0" fontId="73" fillId="0" borderId="55" xfId="0" applyFont="1" applyBorder="1" applyAlignment="1">
      <alignment horizontal="center" vertical="center" wrapText="1"/>
    </xf>
    <xf numFmtId="0" fontId="73" fillId="0" borderId="52" xfId="0" applyFont="1" applyBorder="1" applyAlignment="1">
      <alignment vertical="center" wrapText="1"/>
    </xf>
    <xf numFmtId="14" fontId="73" fillId="0" borderId="52" xfId="0" applyNumberFormat="1" applyFont="1" applyBorder="1" applyAlignment="1">
      <alignment vertical="center" wrapText="1"/>
    </xf>
    <xf numFmtId="20" fontId="73" fillId="6" borderId="52" xfId="0" applyNumberFormat="1" applyFont="1" applyFill="1" applyBorder="1" applyAlignment="1">
      <alignment horizontal="center" vertical="center" wrapText="1"/>
    </xf>
    <xf numFmtId="167" fontId="73" fillId="0" borderId="52" xfId="0" applyNumberFormat="1" applyFont="1" applyBorder="1" applyAlignment="1">
      <alignment horizontal="center" vertical="center" wrapText="1"/>
    </xf>
    <xf numFmtId="43" fontId="74" fillId="0" borderId="23" xfId="3" applyNumberFormat="1" applyFont="1" applyBorder="1" applyAlignment="1">
      <alignment vertical="center" wrapText="1"/>
    </xf>
    <xf numFmtId="43" fontId="73" fillId="0" borderId="23" xfId="1" applyFont="1" applyBorder="1" applyAlignment="1">
      <alignment horizontal="left" vertical="center" wrapText="1"/>
    </xf>
    <xf numFmtId="0" fontId="73" fillId="0" borderId="30" xfId="0" applyFont="1" applyBorder="1" applyAlignment="1">
      <alignment horizontal="center" vertical="center" wrapText="1"/>
    </xf>
    <xf numFmtId="0" fontId="73" fillId="0" borderId="23" xfId="0" applyFont="1" applyBorder="1" applyAlignment="1">
      <alignment vertical="center" wrapText="1"/>
    </xf>
    <xf numFmtId="14" fontId="73" fillId="0" borderId="23" xfId="0" applyNumberFormat="1" applyFont="1" applyBorder="1" applyAlignment="1">
      <alignment vertical="center" wrapText="1"/>
    </xf>
    <xf numFmtId="20" fontId="73" fillId="6" borderId="23" xfId="0" applyNumberFormat="1" applyFont="1" applyFill="1" applyBorder="1" applyAlignment="1">
      <alignment horizontal="center" vertical="center" wrapText="1"/>
    </xf>
    <xf numFmtId="167" fontId="73" fillId="0" borderId="23" xfId="0" applyNumberFormat="1" applyFont="1" applyBorder="1" applyAlignment="1">
      <alignment horizontal="center" vertical="center" wrapText="1"/>
    </xf>
    <xf numFmtId="0" fontId="77" fillId="0" borderId="0" xfId="0" applyFont="1"/>
    <xf numFmtId="43" fontId="77" fillId="0" borderId="0" xfId="0" applyNumberFormat="1" applyFont="1"/>
    <xf numFmtId="49" fontId="72" fillId="7" borderId="23" xfId="3" applyNumberFormat="1" applyFont="1" applyFill="1" applyBorder="1" applyAlignment="1">
      <alignment horizontal="center" vertical="center" wrapText="1"/>
    </xf>
    <xf numFmtId="0" fontId="76" fillId="7" borderId="0" xfId="3" applyFont="1" applyFill="1" applyAlignment="1">
      <alignment horizontal="center" vertical="center" wrapText="1"/>
    </xf>
    <xf numFmtId="0" fontId="72" fillId="7" borderId="23" xfId="3" applyFont="1" applyFill="1" applyBorder="1" applyAlignment="1">
      <alignment horizontal="center" vertical="center" wrapText="1"/>
    </xf>
    <xf numFmtId="0" fontId="72" fillId="7" borderId="23" xfId="3" applyFont="1" applyFill="1" applyBorder="1" applyAlignment="1">
      <alignment vertical="center" wrapText="1"/>
    </xf>
    <xf numFmtId="166"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xf numFmtId="0" fontId="72" fillId="7" borderId="55" xfId="3" applyFont="1" applyFill="1" applyBorder="1" applyAlignment="1">
      <alignment horizontal="left" vertical="center" wrapText="1"/>
    </xf>
    <xf numFmtId="0" fontId="78" fillId="0" borderId="0" xfId="0" applyFont="1" applyAlignment="1">
      <alignment horizontal="center"/>
    </xf>
    <xf numFmtId="0" fontId="75" fillId="0" borderId="0" xfId="3" applyFont="1" applyAlignment="1">
      <alignment horizontal="center" vertical="center" wrapText="1"/>
    </xf>
    <xf numFmtId="0" fontId="9" fillId="0" borderId="0" xfId="3" applyAlignment="1">
      <alignment horizontal="center" vertical="center" wrapText="1"/>
    </xf>
    <xf numFmtId="9" fontId="77" fillId="0" borderId="0" xfId="0" applyNumberFormat="1" applyFont="1" applyAlignment="1">
      <alignment horizontal="center" vertical="center"/>
    </xf>
    <xf numFmtId="0" fontId="77" fillId="0" borderId="0" xfId="0" applyFont="1" applyAlignment="1">
      <alignment horizontal="center" vertical="center"/>
    </xf>
    <xf numFmtId="9" fontId="75" fillId="25" borderId="0" xfId="3" applyNumberFormat="1" applyFont="1" applyFill="1" applyAlignment="1">
      <alignment horizontal="center" vertical="center" wrapText="1"/>
    </xf>
    <xf numFmtId="0" fontId="76" fillId="25" borderId="0" xfId="3" applyFont="1" applyFill="1" applyAlignment="1">
      <alignment horizontal="center" vertical="center" wrapText="1"/>
    </xf>
    <xf numFmtId="9" fontId="76" fillId="25" borderId="0" xfId="3" applyNumberFormat="1" applyFont="1" applyFill="1" applyAlignment="1">
      <alignment horizontal="center" vertical="center" wrapText="1"/>
    </xf>
    <xf numFmtId="0" fontId="72" fillId="25" borderId="23" xfId="3" applyFont="1" applyFill="1" applyBorder="1" applyAlignment="1">
      <alignment horizontal="center" vertical="center" wrapText="1"/>
    </xf>
    <xf numFmtId="10" fontId="76" fillId="25" borderId="0" xfId="3" applyNumberFormat="1" applyFont="1" applyFill="1" applyAlignment="1">
      <alignment horizontal="center" vertical="center" wrapText="1"/>
    </xf>
    <xf numFmtId="10" fontId="75" fillId="0" borderId="0" xfId="3" applyNumberFormat="1" applyFont="1" applyAlignment="1">
      <alignment horizontal="center" vertical="center" wrapText="1"/>
    </xf>
    <xf numFmtId="10" fontId="77" fillId="0" borderId="0" xfId="0" applyNumberFormat="1" applyFont="1" applyAlignment="1">
      <alignment horizontal="center" vertical="center"/>
    </xf>
    <xf numFmtId="49" fontId="0" fillId="0" borderId="0" xfId="0" applyNumberFormat="1" applyAlignment="1">
      <alignment vertical="center"/>
    </xf>
    <xf numFmtId="0" fontId="47" fillId="3" borderId="0" xfId="0" applyFont="1" applyFill="1" applyAlignment="1">
      <alignment horizontal="center"/>
    </xf>
    <xf numFmtId="43" fontId="51" fillId="3" borderId="0" xfId="1" applyFont="1" applyFill="1" applyBorder="1" applyAlignment="1">
      <alignment horizontal="center" vertical="center"/>
    </xf>
    <xf numFmtId="164" fontId="82" fillId="3" borderId="0" xfId="3" applyNumberFormat="1" applyFont="1" applyFill="1" applyAlignment="1">
      <alignment horizontal="center" vertical="center" wrapText="1"/>
    </xf>
    <xf numFmtId="0" fontId="68" fillId="3" borderId="0" xfId="3" applyFont="1" applyFill="1" applyAlignment="1">
      <alignment vertical="center" wrapText="1"/>
    </xf>
    <xf numFmtId="0" fontId="83" fillId="3" borderId="0" xfId="0" applyFont="1" applyFill="1" applyAlignment="1">
      <alignment vertical="center" wrapText="1"/>
    </xf>
    <xf numFmtId="0" fontId="84" fillId="3" borderId="0" xfId="0" applyFont="1" applyFill="1" applyAlignment="1">
      <alignment vertical="center" wrapText="1"/>
    </xf>
    <xf numFmtId="0" fontId="85" fillId="3" borderId="0" xfId="0" applyFont="1" applyFill="1" applyAlignment="1">
      <alignment horizontal="center" vertical="center" wrapText="1"/>
    </xf>
    <xf numFmtId="0" fontId="83" fillId="0" borderId="0" xfId="0" applyFont="1" applyAlignment="1">
      <alignment vertical="center" wrapText="1"/>
    </xf>
    <xf numFmtId="0" fontId="85" fillId="3" borderId="0" xfId="0" applyFont="1" applyFill="1" applyAlignment="1">
      <alignment vertical="center"/>
    </xf>
    <xf numFmtId="0" fontId="86" fillId="3" borderId="0" xfId="0" applyFont="1" applyFill="1" applyAlignment="1">
      <alignment horizontal="center" vertical="center" wrapText="1"/>
    </xf>
    <xf numFmtId="0" fontId="13" fillId="0" borderId="0" xfId="0" applyFont="1" applyAlignment="1">
      <alignment vertical="center"/>
    </xf>
    <xf numFmtId="0" fontId="87" fillId="0" borderId="0" xfId="3" applyFont="1" applyAlignment="1">
      <alignment horizontal="center" vertical="center" wrapText="1"/>
    </xf>
    <xf numFmtId="0" fontId="88" fillId="0" borderId="0" xfId="3" applyFont="1" applyAlignment="1">
      <alignment horizontal="center" vertical="center" wrapText="1"/>
    </xf>
    <xf numFmtId="165" fontId="50" fillId="3" borderId="0" xfId="0" applyNumberFormat="1" applyFont="1" applyFill="1" applyAlignment="1">
      <alignment horizontal="center" vertical="center" wrapText="1"/>
    </xf>
    <xf numFmtId="0" fontId="11" fillId="0" borderId="0" xfId="3" applyFont="1" applyAlignment="1">
      <alignment vertical="center" wrapText="1"/>
    </xf>
    <xf numFmtId="164" fontId="69" fillId="3" borderId="0" xfId="3" applyNumberFormat="1" applyFont="1" applyFill="1" applyAlignment="1">
      <alignment horizontal="left" vertical="center" wrapText="1"/>
    </xf>
    <xf numFmtId="165" fontId="86" fillId="3" borderId="0" xfId="0" applyNumberFormat="1" applyFont="1" applyFill="1" applyAlignment="1">
      <alignment horizontal="left" vertical="center" wrapText="1"/>
    </xf>
    <xf numFmtId="0" fontId="85" fillId="0" borderId="0" xfId="0" applyFont="1" applyAlignment="1">
      <alignment vertical="center" wrapText="1"/>
    </xf>
    <xf numFmtId="0" fontId="85" fillId="3" borderId="0" xfId="0" applyFont="1" applyFill="1" applyAlignment="1">
      <alignment vertical="center" wrapText="1"/>
    </xf>
    <xf numFmtId="165" fontId="69" fillId="3" borderId="0" xfId="3" applyNumberFormat="1" applyFont="1" applyFill="1" applyAlignment="1">
      <alignment horizontal="center" vertical="center" wrapText="1"/>
    </xf>
    <xf numFmtId="165" fontId="82" fillId="3" borderId="0" xfId="0" applyNumberFormat="1" applyFont="1" applyFill="1" applyAlignment="1">
      <alignment horizontal="center" vertical="center" wrapText="1"/>
    </xf>
    <xf numFmtId="165" fontId="85" fillId="3" borderId="0" xfId="0" applyNumberFormat="1" applyFont="1" applyFill="1" applyAlignment="1">
      <alignment horizontal="center" vertical="center"/>
    </xf>
    <xf numFmtId="165" fontId="86" fillId="3" borderId="0" xfId="0" applyNumberFormat="1" applyFont="1" applyFill="1" applyAlignment="1">
      <alignment horizontal="center" vertical="center" wrapText="1"/>
    </xf>
    <xf numFmtId="165" fontId="85" fillId="0" borderId="0" xfId="0" applyNumberFormat="1" applyFont="1" applyAlignment="1">
      <alignment horizontal="center" vertical="center" wrapText="1"/>
    </xf>
    <xf numFmtId="0" fontId="89" fillId="3" borderId="0" xfId="0" applyFont="1" applyFill="1" applyAlignment="1">
      <alignment horizontal="center" vertical="center"/>
    </xf>
    <xf numFmtId="0" fontId="89" fillId="3" borderId="0" xfId="0" applyFont="1" applyFill="1" applyAlignment="1">
      <alignment vertical="center" wrapText="1"/>
    </xf>
    <xf numFmtId="0" fontId="89" fillId="3" borderId="0" xfId="0" applyFont="1" applyFill="1" applyAlignment="1">
      <alignment horizontal="left" vertical="center" wrapText="1"/>
    </xf>
    <xf numFmtId="0" fontId="89" fillId="3" borderId="0" xfId="0" applyFont="1" applyFill="1" applyAlignment="1">
      <alignment horizontal="right" vertical="center" wrapText="1"/>
    </xf>
    <xf numFmtId="0" fontId="10" fillId="3" borderId="0" xfId="3" applyFont="1" applyFill="1" applyAlignment="1">
      <alignment horizontal="center" vertical="center" wrapText="1"/>
    </xf>
    <xf numFmtId="165" fontId="10" fillId="3" borderId="0" xfId="3" applyNumberFormat="1" applyFont="1" applyFill="1" applyAlignment="1">
      <alignment horizontal="center" vertical="center" wrapText="1"/>
    </xf>
    <xf numFmtId="0" fontId="89" fillId="0" borderId="0" xfId="0" applyFont="1" applyAlignment="1">
      <alignment horizontal="center" vertical="center"/>
    </xf>
    <xf numFmtId="0" fontId="89" fillId="0" borderId="0" xfId="0" applyFont="1" applyAlignment="1">
      <alignment vertical="center"/>
    </xf>
    <xf numFmtId="0" fontId="89" fillId="0" borderId="0" xfId="0" applyFont="1" applyAlignment="1">
      <alignment horizontal="center" vertical="center" wrapText="1"/>
    </xf>
    <xf numFmtId="165" fontId="89" fillId="0" borderId="0" xfId="0" applyNumberFormat="1" applyFont="1" applyAlignment="1">
      <alignment vertical="center"/>
    </xf>
    <xf numFmtId="1" fontId="89" fillId="0" borderId="0" xfId="0" applyNumberFormat="1" applyFont="1" applyAlignment="1">
      <alignment vertical="center"/>
    </xf>
    <xf numFmtId="0" fontId="68" fillId="0" borderId="0" xfId="0" applyFont="1" applyAlignment="1">
      <alignment horizontal="left" vertical="center" wrapText="1"/>
    </xf>
    <xf numFmtId="0" fontId="90" fillId="26" borderId="0" xfId="3" applyFont="1" applyFill="1" applyAlignment="1">
      <alignment vertical="center"/>
    </xf>
    <xf numFmtId="0" fontId="92" fillId="0" borderId="0" xfId="0" applyFont="1" applyAlignment="1">
      <alignment vertical="center"/>
    </xf>
    <xf numFmtId="0" fontId="89" fillId="0" borderId="0" xfId="0" applyFont="1" applyAlignment="1">
      <alignment vertical="center" wrapText="1"/>
    </xf>
    <xf numFmtId="0" fontId="89" fillId="0" borderId="0" xfId="0" applyFont="1" applyAlignment="1">
      <alignment horizontal="left" vertical="center" wrapText="1"/>
    </xf>
    <xf numFmtId="0" fontId="89" fillId="0" borderId="0" xfId="0" applyFont="1" applyAlignment="1">
      <alignment horizontal="right" vertical="center" wrapText="1"/>
    </xf>
    <xf numFmtId="15" fontId="89" fillId="0" borderId="0" xfId="0" applyNumberFormat="1" applyFont="1" applyAlignment="1">
      <alignment horizontal="center" vertical="center" wrapText="1"/>
    </xf>
    <xf numFmtId="165" fontId="89" fillId="0" borderId="0" xfId="0" applyNumberFormat="1" applyFont="1" applyAlignment="1">
      <alignment horizontal="center" vertical="center"/>
    </xf>
    <xf numFmtId="166" fontId="89" fillId="0" borderId="0" xfId="0" applyNumberFormat="1" applyFont="1" applyAlignment="1">
      <alignment vertical="center"/>
    </xf>
    <xf numFmtId="165" fontId="89" fillId="0" borderId="0" xfId="0" applyNumberFormat="1" applyFont="1" applyAlignment="1">
      <alignment vertical="center" wrapText="1"/>
    </xf>
    <xf numFmtId="0" fontId="68" fillId="0" borderId="0" xfId="0" applyFont="1" applyAlignment="1">
      <alignment horizontal="left" vertical="center"/>
    </xf>
    <xf numFmtId="0" fontId="89" fillId="0" borderId="0" xfId="0" applyFont="1" applyAlignment="1">
      <alignment horizontal="right" vertical="center"/>
    </xf>
    <xf numFmtId="165" fontId="89" fillId="0" borderId="0" xfId="0" applyNumberFormat="1" applyFont="1" applyAlignment="1">
      <alignment horizontal="center" vertical="center" wrapText="1"/>
    </xf>
    <xf numFmtId="164" fontId="10" fillId="3" borderId="0" xfId="3" applyNumberFormat="1" applyFont="1" applyFill="1" applyAlignment="1">
      <alignment horizontal="center" vertical="center" wrapText="1"/>
    </xf>
    <xf numFmtId="0" fontId="95" fillId="26" borderId="55" xfId="3" applyFont="1" applyFill="1" applyBorder="1" applyAlignment="1">
      <alignment vertical="center"/>
    </xf>
    <xf numFmtId="0" fontId="95" fillId="26" borderId="54" xfId="3" applyFont="1" applyFill="1" applyBorder="1" applyAlignment="1">
      <alignment vertical="center"/>
    </xf>
    <xf numFmtId="0" fontId="95" fillId="26" borderId="54" xfId="3" applyFont="1" applyFill="1" applyBorder="1" applyAlignment="1">
      <alignment horizontal="center" vertical="center" wrapText="1"/>
    </xf>
    <xf numFmtId="0" fontId="95" fillId="26" borderId="54" xfId="3" applyFont="1" applyFill="1" applyBorder="1" applyAlignment="1">
      <alignment horizontal="center" vertical="center"/>
    </xf>
    <xf numFmtId="165" fontId="95" fillId="26" borderId="54" xfId="3" applyNumberFormat="1" applyFont="1" applyFill="1" applyBorder="1" applyAlignment="1">
      <alignment horizontal="center" vertical="center"/>
    </xf>
    <xf numFmtId="165" fontId="95" fillId="26" borderId="54" xfId="3" applyNumberFormat="1" applyFont="1" applyFill="1" applyBorder="1" applyAlignment="1">
      <alignment vertical="center"/>
    </xf>
    <xf numFmtId="0" fontId="95" fillId="26" borderId="56" xfId="3" applyFont="1" applyFill="1" applyBorder="1" applyAlignment="1">
      <alignment horizontal="left" vertical="center"/>
    </xf>
    <xf numFmtId="0" fontId="93" fillId="0" borderId="52" xfId="3" applyFont="1" applyBorder="1" applyAlignment="1">
      <alignment horizontal="center" vertical="center" wrapText="1"/>
    </xf>
    <xf numFmtId="0" fontId="93" fillId="3" borderId="52" xfId="0" applyFont="1" applyFill="1" applyBorder="1" applyAlignment="1">
      <alignment horizontal="left" vertical="center"/>
    </xf>
    <xf numFmtId="0" fontId="93" fillId="0" borderId="52" xfId="0" applyFont="1" applyBorder="1" applyAlignment="1">
      <alignment horizontal="left" vertical="center" wrapText="1"/>
    </xf>
    <xf numFmtId="49" fontId="93" fillId="3" borderId="52" xfId="0" quotePrefix="1" applyNumberFormat="1" applyFont="1" applyFill="1" applyBorder="1" applyAlignment="1">
      <alignment horizontal="center" vertical="center" wrapText="1"/>
    </xf>
    <xf numFmtId="0" fontId="93" fillId="3" borderId="52" xfId="0" applyFont="1" applyFill="1" applyBorder="1" applyAlignment="1">
      <alignment horizontal="center" vertical="center" wrapText="1"/>
    </xf>
    <xf numFmtId="0" fontId="93" fillId="3" borderId="52" xfId="0" applyFont="1" applyFill="1" applyBorder="1" applyAlignment="1">
      <alignment horizontal="left" vertical="center" wrapText="1"/>
    </xf>
    <xf numFmtId="0" fontId="93" fillId="0" borderId="52" xfId="0" applyFont="1" applyBorder="1" applyAlignment="1">
      <alignment horizontal="center" vertical="center" wrapText="1"/>
    </xf>
    <xf numFmtId="1" fontId="93" fillId="0" borderId="52" xfId="0" applyNumberFormat="1" applyFont="1" applyBorder="1" applyAlignment="1">
      <alignment horizontal="center" vertical="center" wrapText="1" shrinkToFit="1"/>
    </xf>
    <xf numFmtId="0" fontId="93" fillId="0" borderId="52" xfId="3" applyFont="1" applyBorder="1" applyAlignment="1">
      <alignment horizontal="left" vertical="center" wrapText="1"/>
    </xf>
    <xf numFmtId="0" fontId="93" fillId="0" borderId="19" xfId="0" applyFont="1"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0" fontId="96" fillId="0" borderId="0" xfId="0" applyFont="1" applyAlignment="1">
      <alignment vertical="center" wrapText="1"/>
    </xf>
    <xf numFmtId="0" fontId="96" fillId="0" borderId="0" xfId="0" applyFont="1" applyAlignment="1">
      <alignment horizontal="left" vertical="center" wrapText="1"/>
    </xf>
    <xf numFmtId="0" fontId="96" fillId="0" borderId="0" xfId="0" applyFont="1" applyAlignment="1">
      <alignment horizontal="right" vertical="center" wrapText="1"/>
    </xf>
    <xf numFmtId="0" fontId="96" fillId="0" borderId="0" xfId="0" applyFont="1" applyAlignment="1">
      <alignment horizontal="center" vertical="center" wrapText="1"/>
    </xf>
    <xf numFmtId="15" fontId="96" fillId="0" borderId="0" xfId="0" applyNumberFormat="1" applyFont="1" applyAlignment="1">
      <alignment horizontal="center" vertical="center" wrapText="1"/>
    </xf>
    <xf numFmtId="165" fontId="96" fillId="3" borderId="0" xfId="0" applyNumberFormat="1" applyFont="1" applyFill="1" applyAlignment="1">
      <alignment horizontal="center" vertical="center"/>
    </xf>
    <xf numFmtId="46" fontId="95" fillId="3" borderId="0" xfId="0" applyNumberFormat="1" applyFont="1" applyFill="1" applyAlignment="1">
      <alignment horizontal="center" vertical="center" wrapText="1"/>
    </xf>
    <xf numFmtId="10" fontId="96" fillId="3" borderId="0" xfId="0" applyNumberFormat="1" applyFont="1" applyFill="1" applyAlignment="1">
      <alignment horizontal="center" vertical="center"/>
    </xf>
    <xf numFmtId="0" fontId="95" fillId="0" borderId="0" xfId="0" applyFont="1" applyAlignment="1">
      <alignment vertical="center"/>
    </xf>
    <xf numFmtId="166" fontId="95" fillId="0" borderId="0" xfId="0" applyNumberFormat="1" applyFont="1" applyAlignment="1">
      <alignment vertical="center"/>
    </xf>
    <xf numFmtId="1" fontId="95" fillId="0" borderId="0" xfId="0" applyNumberFormat="1" applyFont="1" applyAlignment="1">
      <alignment vertical="center"/>
    </xf>
    <xf numFmtId="165" fontId="96" fillId="0" borderId="0" xfId="0" applyNumberFormat="1" applyFont="1" applyAlignment="1">
      <alignment vertical="center" wrapText="1"/>
    </xf>
    <xf numFmtId="0" fontId="93" fillId="0" borderId="0" xfId="0" applyFont="1" applyAlignment="1">
      <alignment horizontal="left" vertical="center"/>
    </xf>
    <xf numFmtId="0" fontId="96" fillId="3" borderId="0" xfId="0" applyFont="1" applyFill="1" applyAlignment="1">
      <alignment vertical="center"/>
    </xf>
    <xf numFmtId="0" fontId="93" fillId="3" borderId="0" xfId="3" applyFont="1" applyFill="1" applyAlignment="1">
      <alignment horizontal="center" vertical="center" wrapText="1"/>
    </xf>
    <xf numFmtId="164" fontId="94" fillId="3" borderId="0" xfId="3" applyNumberFormat="1" applyFont="1" applyFill="1" applyAlignment="1">
      <alignment horizontal="right" vertical="center" wrapText="1"/>
    </xf>
    <xf numFmtId="169" fontId="94" fillId="3" borderId="0" xfId="3" applyNumberFormat="1" applyFont="1" applyFill="1" applyAlignment="1">
      <alignment horizontal="center" vertical="center" wrapText="1"/>
    </xf>
    <xf numFmtId="164" fontId="94" fillId="0" borderId="0" xfId="3" applyNumberFormat="1" applyFont="1" applyAlignment="1">
      <alignment horizontal="center" vertical="center" wrapText="1"/>
    </xf>
    <xf numFmtId="164" fontId="94" fillId="0" borderId="0" xfId="3" applyNumberFormat="1" applyFont="1" applyAlignment="1">
      <alignment vertical="center" wrapText="1"/>
    </xf>
    <xf numFmtId="165" fontId="94" fillId="0" borderId="0" xfId="3" applyNumberFormat="1" applyFont="1" applyAlignment="1">
      <alignment horizontal="center" vertical="center" wrapText="1"/>
    </xf>
    <xf numFmtId="1" fontId="94" fillId="0" borderId="0" xfId="3" applyNumberFormat="1" applyFont="1" applyAlignment="1">
      <alignment horizontal="center" vertical="center" wrapText="1"/>
    </xf>
    <xf numFmtId="164" fontId="94" fillId="0" borderId="0" xfId="3" applyNumberFormat="1" applyFont="1" applyAlignment="1">
      <alignment horizontal="left" vertical="center" wrapText="1"/>
    </xf>
    <xf numFmtId="0" fontId="96" fillId="3" borderId="0" xfId="0" applyFont="1" applyFill="1" applyAlignment="1">
      <alignment horizontal="left" vertical="center" wrapText="1"/>
    </xf>
    <xf numFmtId="1" fontId="96" fillId="0" borderId="0" xfId="0" applyNumberFormat="1" applyFont="1" applyAlignment="1">
      <alignment vertical="center"/>
    </xf>
    <xf numFmtId="0" fontId="93" fillId="0" borderId="0" xfId="0" applyFont="1" applyAlignment="1">
      <alignment horizontal="left" vertical="center" wrapText="1"/>
    </xf>
    <xf numFmtId="0" fontId="96" fillId="3" borderId="0" xfId="0" applyFont="1" applyFill="1" applyAlignment="1">
      <alignment horizontal="center" vertical="center" wrapText="1"/>
    </xf>
    <xf numFmtId="0" fontId="96" fillId="3" borderId="0" xfId="0" applyFont="1" applyFill="1" applyAlignment="1">
      <alignment vertical="center" wrapText="1"/>
    </xf>
    <xf numFmtId="165" fontId="96" fillId="3" borderId="0" xfId="0" applyNumberFormat="1" applyFont="1" applyFill="1" applyAlignment="1">
      <alignment horizontal="right" vertical="center" wrapText="1"/>
    </xf>
    <xf numFmtId="168" fontId="95" fillId="0" borderId="0" xfId="0" applyNumberFormat="1" applyFont="1" applyAlignment="1">
      <alignment horizontal="left" vertical="center"/>
    </xf>
    <xf numFmtId="4" fontId="97" fillId="0" borderId="0" xfId="0" applyNumberFormat="1" applyFont="1" applyAlignment="1">
      <alignment vertical="center"/>
    </xf>
    <xf numFmtId="165" fontId="96" fillId="0" borderId="0" xfId="0" applyNumberFormat="1" applyFont="1" applyAlignment="1">
      <alignment vertical="center"/>
    </xf>
    <xf numFmtId="4" fontId="95" fillId="0" borderId="0" xfId="0" applyNumberFormat="1" applyFont="1" applyAlignment="1">
      <alignment horizontal="center" vertical="center"/>
    </xf>
    <xf numFmtId="4" fontId="95" fillId="0" borderId="0" xfId="0" applyNumberFormat="1" applyFont="1" applyAlignment="1">
      <alignment vertical="center"/>
    </xf>
    <xf numFmtId="0" fontId="96" fillId="3" borderId="11" xfId="0" applyFont="1" applyFill="1" applyBorder="1" applyAlignment="1">
      <alignment vertical="center" wrapText="1"/>
    </xf>
    <xf numFmtId="4" fontId="95" fillId="0" borderId="31" xfId="0" applyNumberFormat="1" applyFont="1" applyBorder="1" applyAlignment="1">
      <alignment vertical="center"/>
    </xf>
    <xf numFmtId="4" fontId="95" fillId="0" borderId="31" xfId="0" applyNumberFormat="1" applyFont="1" applyBorder="1" applyAlignment="1">
      <alignment horizontal="center" vertical="center"/>
    </xf>
    <xf numFmtId="4" fontId="95" fillId="0" borderId="32" xfId="0" applyNumberFormat="1" applyFont="1" applyBorder="1" applyAlignment="1">
      <alignment vertical="center"/>
    </xf>
    <xf numFmtId="4" fontId="95" fillId="0" borderId="0" xfId="0" applyNumberFormat="1" applyFont="1" applyAlignment="1">
      <alignment horizontal="left" vertical="center"/>
    </xf>
    <xf numFmtId="165" fontId="96" fillId="3" borderId="0" xfId="0" applyNumberFormat="1" applyFont="1" applyFill="1" applyAlignment="1">
      <alignment horizontal="center" vertical="center" wrapText="1"/>
    </xf>
    <xf numFmtId="0" fontId="96" fillId="0" borderId="0" xfId="0" applyFont="1" applyAlignment="1">
      <alignment horizontal="left" vertical="center"/>
    </xf>
    <xf numFmtId="165" fontId="96" fillId="0" borderId="0" xfId="0" applyNumberFormat="1" applyFont="1" applyAlignment="1">
      <alignment horizontal="left" vertical="center"/>
    </xf>
    <xf numFmtId="1" fontId="96" fillId="0" borderId="0" xfId="0" applyNumberFormat="1" applyFont="1" applyAlignment="1">
      <alignment horizontal="left" vertical="center"/>
    </xf>
    <xf numFmtId="0" fontId="99" fillId="7" borderId="0" xfId="3" applyFont="1" applyFill="1" applyAlignment="1">
      <alignment horizontal="center" vertical="center" wrapText="1"/>
    </xf>
    <xf numFmtId="0" fontId="98" fillId="7" borderId="52" xfId="3" applyFont="1" applyFill="1" applyBorder="1" applyAlignment="1">
      <alignment horizontal="left" vertical="center" wrapText="1"/>
    </xf>
    <xf numFmtId="169" fontId="96" fillId="3" borderId="0" xfId="0" applyNumberFormat="1" applyFont="1" applyFill="1" applyAlignment="1">
      <alignment horizontal="right" vertical="center" wrapText="1"/>
    </xf>
    <xf numFmtId="169" fontId="96" fillId="3" borderId="0" xfId="0" applyNumberFormat="1" applyFont="1" applyFill="1" applyAlignment="1">
      <alignment horizontal="center" vertical="center" wrapText="1"/>
    </xf>
    <xf numFmtId="169" fontId="50" fillId="3" borderId="0" xfId="0" applyNumberFormat="1" applyFont="1" applyFill="1" applyAlignment="1">
      <alignment horizontal="center" vertical="center" wrapText="1"/>
    </xf>
    <xf numFmtId="169" fontId="95" fillId="26" borderId="54" xfId="3" applyNumberFormat="1" applyFont="1" applyFill="1" applyBorder="1" applyAlignment="1">
      <alignment vertical="center" wrapText="1"/>
    </xf>
    <xf numFmtId="169" fontId="89" fillId="0" borderId="0" xfId="0" applyNumberFormat="1" applyFont="1" applyAlignment="1">
      <alignment horizontal="center" vertical="center" wrapText="1"/>
    </xf>
    <xf numFmtId="171" fontId="93" fillId="63" borderId="52" xfId="0" applyNumberFormat="1" applyFont="1" applyFill="1" applyBorder="1" applyAlignment="1">
      <alignment horizontal="center" vertical="center" wrapText="1"/>
    </xf>
    <xf numFmtId="0" fontId="100" fillId="0" borderId="0" xfId="0" applyFont="1"/>
    <xf numFmtId="4" fontId="100" fillId="4" borderId="23" xfId="0" applyNumberFormat="1" applyFont="1" applyFill="1" applyBorder="1" applyAlignment="1">
      <alignment horizontal="center" vertical="center" wrapText="1"/>
    </xf>
    <xf numFmtId="0" fontId="100" fillId="4" borderId="23" xfId="0"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0" fillId="0" borderId="0" xfId="0" applyFont="1" applyAlignment="1">
      <alignment horizontal="center" wrapText="1"/>
    </xf>
    <xf numFmtId="0" fontId="101" fillId="0" borderId="52" xfId="0" applyFont="1" applyBorder="1" applyAlignment="1">
      <alignment horizontal="center" vertical="center"/>
    </xf>
    <xf numFmtId="2" fontId="101" fillId="6" borderId="52" xfId="1" applyNumberFormat="1" applyFont="1" applyFill="1" applyBorder="1" applyAlignment="1">
      <alignment horizontal="center" vertical="center"/>
    </xf>
    <xf numFmtId="43" fontId="101" fillId="0" borderId="52" xfId="1" applyFont="1" applyBorder="1" applyAlignment="1">
      <alignment horizontal="center" vertical="center"/>
    </xf>
    <xf numFmtId="43" fontId="101" fillId="6" borderId="52" xfId="1" applyFont="1" applyFill="1" applyBorder="1" applyAlignment="1">
      <alignment horizontal="center" vertical="center"/>
    </xf>
    <xf numFmtId="0" fontId="101" fillId="0" borderId="0" xfId="0" applyFont="1" applyAlignment="1">
      <alignment vertical="center"/>
    </xf>
    <xf numFmtId="0" fontId="100" fillId="0" borderId="0" xfId="0" applyFont="1" applyAlignment="1">
      <alignment vertical="center"/>
    </xf>
    <xf numFmtId="164" fontId="103" fillId="3" borderId="0" xfId="3" applyNumberFormat="1" applyFont="1" applyFill="1" applyAlignment="1">
      <alignment horizontal="left" vertical="center" wrapText="1"/>
    </xf>
    <xf numFmtId="164" fontId="103" fillId="3" borderId="0" xfId="3" applyNumberFormat="1" applyFont="1" applyFill="1" applyAlignment="1">
      <alignment horizontal="center" vertical="center" wrapText="1"/>
    </xf>
    <xf numFmtId="0" fontId="48" fillId="7" borderId="23" xfId="3" applyFont="1" applyFill="1" applyBorder="1" applyAlignment="1">
      <alignment horizontal="center" vertical="center"/>
    </xf>
    <xf numFmtId="0" fontId="48" fillId="7" borderId="23" xfId="3" applyFont="1" applyFill="1" applyBorder="1" applyAlignment="1">
      <alignment horizontal="center" vertical="center" wrapText="1"/>
    </xf>
    <xf numFmtId="165" fontId="48" fillId="7" borderId="23" xfId="3" applyNumberFormat="1" applyFont="1" applyFill="1" applyBorder="1" applyAlignment="1">
      <alignment horizontal="center" vertical="center" wrapText="1"/>
    </xf>
    <xf numFmtId="49" fontId="48" fillId="7" borderId="23" xfId="3" applyNumberFormat="1" applyFont="1" applyFill="1" applyBorder="1" applyAlignment="1">
      <alignment horizontal="center" vertical="center" wrapText="1"/>
    </xf>
    <xf numFmtId="0" fontId="48" fillId="7" borderId="23" xfId="3" applyFont="1" applyFill="1" applyBorder="1" applyAlignment="1">
      <alignment horizontal="left" vertical="center" wrapText="1"/>
    </xf>
    <xf numFmtId="15" fontId="48" fillId="7" borderId="23" xfId="3" applyNumberFormat="1" applyFont="1" applyFill="1" applyBorder="1" applyAlignment="1">
      <alignment horizontal="center" vertical="center" wrapText="1"/>
    </xf>
    <xf numFmtId="1" fontId="48" fillId="7" borderId="23" xfId="3" applyNumberFormat="1" applyFont="1" applyFill="1" applyBorder="1" applyAlignment="1">
      <alignment horizontal="center" vertical="center" wrapText="1"/>
    </xf>
    <xf numFmtId="0" fontId="48" fillId="0" borderId="0" xfId="3" applyFont="1" applyAlignment="1">
      <alignment horizontal="center" vertical="center" wrapText="1"/>
    </xf>
    <xf numFmtId="0" fontId="13" fillId="3" borderId="0" xfId="0" applyFont="1" applyFill="1" applyAlignment="1">
      <alignment vertical="center"/>
    </xf>
    <xf numFmtId="0" fontId="9" fillId="3" borderId="0" xfId="3" applyFill="1" applyAlignment="1">
      <alignment wrapText="1"/>
    </xf>
    <xf numFmtId="0" fontId="13" fillId="3" borderId="0" xfId="0" applyFont="1" applyFill="1" applyAlignment="1">
      <alignment horizontal="center" vertical="center"/>
    </xf>
    <xf numFmtId="0" fontId="100" fillId="3" borderId="0" xfId="0" applyFont="1" applyFill="1" applyAlignment="1">
      <alignment vertical="center"/>
    </xf>
    <xf numFmtId="0" fontId="100" fillId="3" borderId="0" xfId="0" applyFont="1" applyFill="1" applyAlignment="1">
      <alignment horizontal="right" vertical="center"/>
    </xf>
    <xf numFmtId="0" fontId="100" fillId="3" borderId="0" xfId="0" applyFont="1" applyFill="1" applyAlignment="1">
      <alignment horizontal="center" vertical="center"/>
    </xf>
    <xf numFmtId="0" fontId="100" fillId="3" borderId="0" xfId="0" applyFont="1" applyFill="1" applyAlignment="1">
      <alignment horizontal="left" vertical="center"/>
    </xf>
    <xf numFmtId="0" fontId="102" fillId="3" borderId="0" xfId="0" applyFont="1" applyFill="1" applyAlignment="1">
      <alignment horizontal="left" vertical="center"/>
    </xf>
    <xf numFmtId="4" fontId="100" fillId="3" borderId="0" xfId="0" applyNumberFormat="1" applyFont="1" applyFill="1" applyAlignment="1">
      <alignment horizontal="right" vertical="center"/>
    </xf>
    <xf numFmtId="0" fontId="101" fillId="3" borderId="0" xfId="0" applyFont="1" applyFill="1" applyAlignment="1">
      <alignment vertical="center"/>
    </xf>
    <xf numFmtId="0" fontId="10" fillId="3" borderId="0" xfId="0" applyFont="1" applyFill="1" applyAlignment="1">
      <alignment horizontal="left" vertical="center" wrapText="1"/>
    </xf>
    <xf numFmtId="4" fontId="10" fillId="3" borderId="0" xfId="1" applyNumberFormat="1" applyFont="1" applyFill="1" applyAlignment="1">
      <alignment horizontal="left" vertical="center"/>
    </xf>
    <xf numFmtId="0" fontId="105" fillId="3" borderId="0" xfId="0" applyFont="1" applyFill="1" applyAlignment="1">
      <alignment horizontal="left" vertical="center"/>
    </xf>
    <xf numFmtId="0" fontId="101" fillId="3" borderId="0" xfId="0" applyFont="1" applyFill="1" applyAlignment="1">
      <alignment horizontal="center" vertical="center"/>
    </xf>
    <xf numFmtId="0" fontId="105" fillId="3" borderId="0" xfId="0" applyFont="1" applyFill="1" applyAlignment="1">
      <alignment horizontal="center" vertical="center"/>
    </xf>
    <xf numFmtId="4" fontId="106" fillId="3" borderId="0" xfId="0" applyNumberFormat="1" applyFont="1" applyFill="1" applyAlignment="1">
      <alignment horizontal="center" vertical="center"/>
    </xf>
    <xf numFmtId="4" fontId="107" fillId="3" borderId="0" xfId="1" applyNumberFormat="1" applyFont="1" applyFill="1" applyAlignment="1">
      <alignment horizontal="center" vertical="center"/>
    </xf>
    <xf numFmtId="0" fontId="107" fillId="3" borderId="0" xfId="0" applyFont="1" applyFill="1" applyAlignment="1">
      <alignment horizontal="center" vertical="center"/>
    </xf>
    <xf numFmtId="0" fontId="100" fillId="3" borderId="0" xfId="0" applyFont="1" applyFill="1" applyAlignment="1">
      <alignment horizontal="center" vertical="center" wrapText="1"/>
    </xf>
    <xf numFmtId="0" fontId="100" fillId="3" borderId="0" xfId="0" applyFont="1" applyFill="1"/>
    <xf numFmtId="0" fontId="100" fillId="3" borderId="0" xfId="0" applyFont="1" applyFill="1" applyAlignment="1">
      <alignment horizontal="center"/>
    </xf>
    <xf numFmtId="43" fontId="100" fillId="3" borderId="0" xfId="1" applyFont="1" applyFill="1" applyAlignment="1">
      <alignment horizontal="center"/>
    </xf>
    <xf numFmtId="0" fontId="48" fillId="3" borderId="0" xfId="0" applyFont="1" applyFill="1" applyAlignment="1">
      <alignment vertical="center"/>
    </xf>
    <xf numFmtId="0" fontId="48" fillId="3" borderId="0" xfId="0" applyFont="1" applyFill="1" applyAlignment="1">
      <alignment horizontal="center" vertical="center"/>
    </xf>
    <xf numFmtId="0" fontId="48" fillId="3" borderId="0" xfId="0" applyFont="1" applyFill="1" applyAlignment="1">
      <alignment horizontal="left" vertical="center"/>
    </xf>
    <xf numFmtId="43" fontId="102" fillId="6" borderId="23" xfId="0" quotePrefix="1" applyNumberFormat="1" applyFont="1" applyFill="1" applyBorder="1" applyAlignment="1">
      <alignment vertical="center"/>
    </xf>
    <xf numFmtId="43" fontId="102" fillId="0" borderId="23" xfId="0" applyNumberFormat="1" applyFont="1" applyBorder="1" applyAlignment="1">
      <alignment vertical="center"/>
    </xf>
    <xf numFmtId="0" fontId="11" fillId="3" borderId="0" xfId="3" applyFont="1" applyFill="1" applyAlignment="1">
      <alignment wrapText="1"/>
    </xf>
    <xf numFmtId="164" fontId="103" fillId="0" borderId="0" xfId="3" applyNumberFormat="1" applyFont="1" applyAlignment="1">
      <alignment horizontal="center" vertical="center" wrapText="1"/>
    </xf>
    <xf numFmtId="0" fontId="48" fillId="0" borderId="0" xfId="0" applyFont="1" applyAlignment="1">
      <alignment vertical="center"/>
    </xf>
    <xf numFmtId="0" fontId="48" fillId="3" borderId="0" xfId="0" applyFont="1" applyFill="1" applyAlignment="1">
      <alignment horizontal="right" vertical="center"/>
    </xf>
    <xf numFmtId="0" fontId="104" fillId="3" borderId="0" xfId="0" applyFont="1" applyFill="1" applyAlignment="1">
      <alignment horizontal="center" vertical="center"/>
    </xf>
    <xf numFmtId="0" fontId="104" fillId="3" borderId="0" xfId="0" applyFont="1" applyFill="1" applyAlignment="1">
      <alignment horizontal="left" vertical="center"/>
    </xf>
    <xf numFmtId="0" fontId="48" fillId="3" borderId="0" xfId="0" applyFont="1" applyFill="1" applyAlignment="1">
      <alignment vertical="center" wrapText="1"/>
    </xf>
    <xf numFmtId="0" fontId="11" fillId="3" borderId="0" xfId="0" applyFont="1" applyFill="1" applyAlignment="1">
      <alignment vertical="center"/>
    </xf>
    <xf numFmtId="0" fontId="103" fillId="3" borderId="21" xfId="0" applyFont="1" applyFill="1" applyBorder="1" applyAlignment="1">
      <alignment horizontal="center" vertical="center" wrapText="1"/>
    </xf>
    <xf numFmtId="4" fontId="103" fillId="3" borderId="0" xfId="1" applyNumberFormat="1" applyFont="1" applyFill="1" applyAlignment="1">
      <alignment horizontal="left" vertical="center"/>
    </xf>
    <xf numFmtId="0" fontId="108" fillId="3" borderId="0" xfId="0" applyFont="1" applyFill="1" applyAlignment="1">
      <alignment horizontal="left" vertical="center"/>
    </xf>
    <xf numFmtId="4" fontId="109" fillId="3" borderId="0" xfId="0" applyNumberFormat="1" applyFont="1" applyFill="1" applyAlignment="1">
      <alignment horizontal="left" vertical="center"/>
    </xf>
    <xf numFmtId="4" fontId="110" fillId="3" borderId="0" xfId="1" applyNumberFormat="1" applyFont="1" applyFill="1" applyAlignment="1">
      <alignment vertical="center"/>
    </xf>
    <xf numFmtId="0" fontId="110" fillId="3" borderId="0" xfId="0" applyFont="1" applyFill="1" applyAlignment="1">
      <alignment vertical="center"/>
    </xf>
    <xf numFmtId="0" fontId="11" fillId="0" borderId="0" xfId="0" applyFont="1" applyAlignment="1">
      <alignment vertical="center"/>
    </xf>
    <xf numFmtId="0" fontId="48" fillId="0" borderId="0" xfId="0" applyFont="1" applyAlignment="1">
      <alignment vertical="center" wrapText="1"/>
    </xf>
    <xf numFmtId="164" fontId="10" fillId="3" borderId="0" xfId="3" applyNumberFormat="1" applyFont="1" applyFill="1" applyAlignment="1">
      <alignment horizontal="right" vertical="center" wrapText="1"/>
    </xf>
    <xf numFmtId="0" fontId="72" fillId="3" borderId="0" xfId="0" applyFont="1" applyFill="1" applyAlignment="1">
      <alignment vertical="center"/>
    </xf>
    <xf numFmtId="0" fontId="72" fillId="3" borderId="0" xfId="0" applyFont="1" applyFill="1" applyAlignment="1">
      <alignment horizontal="right" vertical="center"/>
    </xf>
    <xf numFmtId="0" fontId="76" fillId="3" borderId="11" xfId="0" applyFont="1" applyFill="1" applyBorder="1" applyAlignment="1">
      <alignment vertical="center"/>
    </xf>
    <xf numFmtId="0" fontId="76" fillId="3" borderId="0" xfId="0" applyFont="1" applyFill="1" applyAlignment="1">
      <alignment vertical="center"/>
    </xf>
    <xf numFmtId="17" fontId="111" fillId="3" borderId="0" xfId="0" applyNumberFormat="1" applyFont="1" applyFill="1" applyAlignment="1">
      <alignment horizontal="right" vertical="center"/>
    </xf>
    <xf numFmtId="0" fontId="72" fillId="3" borderId="0" xfId="0" applyFont="1" applyFill="1" applyAlignment="1">
      <alignment vertical="center" wrapText="1"/>
    </xf>
    <xf numFmtId="0" fontId="72" fillId="3" borderId="0" xfId="0" applyFont="1" applyFill="1" applyAlignment="1">
      <alignment horizontal="left" vertical="center"/>
    </xf>
    <xf numFmtId="4" fontId="76" fillId="3" borderId="0" xfId="0" applyNumberFormat="1" applyFont="1" applyFill="1" applyAlignment="1">
      <alignment horizontal="left" vertical="center"/>
    </xf>
    <xf numFmtId="4" fontId="111" fillId="3" borderId="0" xfId="0" applyNumberFormat="1" applyFont="1" applyFill="1" applyAlignment="1">
      <alignment horizontal="right" vertical="center"/>
    </xf>
    <xf numFmtId="165" fontId="76" fillId="3" borderId="0" xfId="0" applyNumberFormat="1" applyFont="1" applyFill="1" applyAlignment="1">
      <alignment vertical="center"/>
    </xf>
    <xf numFmtId="0" fontId="72" fillId="3" borderId="0" xfId="0" quotePrefix="1" applyFont="1" applyFill="1" applyAlignment="1">
      <alignment horizontal="right" vertical="center"/>
    </xf>
    <xf numFmtId="4" fontId="76" fillId="3" borderId="0" xfId="0" applyNumberFormat="1" applyFont="1" applyFill="1" applyAlignment="1">
      <alignment horizontal="right" vertical="center"/>
    </xf>
    <xf numFmtId="17" fontId="76" fillId="3" borderId="11" xfId="0" applyNumberFormat="1" applyFont="1" applyFill="1" applyBorder="1" applyAlignment="1">
      <alignment vertical="center"/>
    </xf>
    <xf numFmtId="17" fontId="76" fillId="3" borderId="0" xfId="0" quotePrefix="1" applyNumberFormat="1" applyFont="1" applyFill="1" applyAlignment="1">
      <alignment horizontal="center" vertical="center"/>
    </xf>
    <xf numFmtId="17" fontId="76" fillId="3" borderId="21" xfId="0" quotePrefix="1" applyNumberFormat="1" applyFont="1" applyFill="1" applyBorder="1" applyAlignment="1">
      <alignment horizontal="right" vertical="center"/>
    </xf>
    <xf numFmtId="17" fontId="76" fillId="3" borderId="0" xfId="0" applyNumberFormat="1" applyFont="1" applyFill="1" applyAlignment="1">
      <alignment vertical="center"/>
    </xf>
    <xf numFmtId="0" fontId="72" fillId="3" borderId="0" xfId="0" applyFont="1" applyFill="1" applyAlignment="1">
      <alignment horizontal="right" vertical="center" wrapText="1"/>
    </xf>
    <xf numFmtId="4" fontId="76" fillId="3" borderId="0" xfId="0" applyNumberFormat="1" applyFont="1" applyFill="1" applyAlignment="1">
      <alignment horizontal="center" vertical="center"/>
    </xf>
    <xf numFmtId="0" fontId="82" fillId="3" borderId="32" xfId="0" applyFont="1" applyFill="1" applyBorder="1" applyAlignment="1">
      <alignment vertical="center" wrapText="1"/>
    </xf>
    <xf numFmtId="0" fontId="82" fillId="3" borderId="0" xfId="0" applyFont="1" applyFill="1" applyAlignment="1">
      <alignment horizontal="left" vertical="center" wrapText="1"/>
    </xf>
    <xf numFmtId="165" fontId="85"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43" fontId="82" fillId="3" borderId="31" xfId="1" applyFont="1" applyFill="1" applyBorder="1" applyAlignment="1">
      <alignment vertical="center" wrapText="1"/>
    </xf>
    <xf numFmtId="43" fontId="82" fillId="3" borderId="32" xfId="1" applyFont="1" applyFill="1" applyBorder="1" applyAlignment="1">
      <alignment vertical="center" wrapText="1"/>
    </xf>
    <xf numFmtId="165" fontId="112" fillId="3" borderId="0" xfId="0" applyNumberFormat="1" applyFont="1" applyFill="1" applyAlignment="1">
      <alignment horizontal="center" vertical="center" wrapText="1"/>
    </xf>
    <xf numFmtId="0" fontId="85" fillId="3" borderId="0" xfId="0" applyFont="1" applyFill="1" applyAlignment="1">
      <alignment horizontal="left" vertical="center"/>
    </xf>
    <xf numFmtId="0" fontId="85" fillId="3" borderId="0" xfId="0" applyFont="1" applyFill="1" applyAlignment="1">
      <alignment horizontal="center" vertical="center"/>
    </xf>
    <xf numFmtId="0" fontId="85" fillId="0" borderId="0" xfId="0" applyFont="1" applyAlignment="1">
      <alignment vertical="center"/>
    </xf>
    <xf numFmtId="0" fontId="69" fillId="3" borderId="0" xfId="3" applyFont="1" applyFill="1" applyAlignment="1">
      <alignment horizontal="center" vertical="center" wrapText="1"/>
    </xf>
    <xf numFmtId="0" fontId="82" fillId="0" borderId="0" xfId="3" applyFont="1" applyAlignment="1">
      <alignment horizontal="center" vertical="center" wrapText="1"/>
    </xf>
    <xf numFmtId="0" fontId="68" fillId="0" borderId="0" xfId="0" applyFont="1" applyAlignment="1">
      <alignment vertical="center" wrapText="1"/>
    </xf>
    <xf numFmtId="0" fontId="85" fillId="0" borderId="0" xfId="0" applyFont="1" applyAlignment="1">
      <alignment horizontal="left" vertical="center" wrapText="1"/>
    </xf>
    <xf numFmtId="0" fontId="85" fillId="0" borderId="0" xfId="0" applyFont="1" applyAlignment="1">
      <alignment horizontal="center" vertical="center" wrapText="1"/>
    </xf>
    <xf numFmtId="0" fontId="68" fillId="0" borderId="0" xfId="3" applyFont="1" applyAlignment="1">
      <alignment horizontal="center" vertical="center" wrapText="1"/>
    </xf>
    <xf numFmtId="165" fontId="93" fillId="0" borderId="52" xfId="0" applyNumberFormat="1" applyFont="1" applyBorder="1" applyAlignment="1">
      <alignment horizontal="center" vertical="center" wrapText="1"/>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horizontal="left" vertical="center" wrapText="1"/>
    </xf>
    <xf numFmtId="0" fontId="98" fillId="7" borderId="23" xfId="3" applyFont="1" applyFill="1" applyBorder="1" applyAlignment="1">
      <alignment horizontal="center" vertical="center" wrapText="1"/>
    </xf>
    <xf numFmtId="0" fontId="98" fillId="7" borderId="55" xfId="3" applyFont="1" applyFill="1" applyBorder="1" applyAlignment="1">
      <alignment horizontal="center" vertical="center" wrapText="1"/>
    </xf>
    <xf numFmtId="1" fontId="98" fillId="7" borderId="23" xfId="3" applyNumberFormat="1" applyFont="1" applyFill="1" applyBorder="1" applyAlignment="1">
      <alignment horizontal="center" vertical="center" wrapText="1"/>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vertical="center"/>
    </xf>
    <xf numFmtId="0" fontId="113" fillId="0" borderId="0" xfId="3" applyFont="1" applyAlignment="1">
      <alignment vertical="center" wrapText="1"/>
    </xf>
    <xf numFmtId="164" fontId="69" fillId="3" borderId="0" xfId="3" applyNumberFormat="1" applyFont="1" applyFill="1" applyAlignment="1">
      <alignment horizontal="center" vertical="center" wrapText="1"/>
    </xf>
    <xf numFmtId="164" fontId="69" fillId="3" borderId="0" xfId="3" applyNumberFormat="1" applyFont="1" applyFill="1" applyAlignment="1">
      <alignment vertical="center" wrapText="1"/>
    </xf>
    <xf numFmtId="0" fontId="82" fillId="3" borderId="31" xfId="0" applyFont="1" applyFill="1" applyBorder="1" applyAlignment="1">
      <alignment vertical="center" wrapText="1"/>
    </xf>
    <xf numFmtId="0" fontId="85" fillId="3" borderId="0" xfId="0" applyFont="1" applyFill="1" applyAlignment="1">
      <alignment horizontal="right" vertical="center" wrapText="1"/>
    </xf>
    <xf numFmtId="0" fontId="95" fillId="26" borderId="28" xfId="3" applyFont="1" applyFill="1" applyBorder="1" applyAlignment="1">
      <alignment vertical="center"/>
    </xf>
    <xf numFmtId="0" fontId="95" fillId="26" borderId="28" xfId="3" applyFont="1" applyFill="1" applyBorder="1" applyAlignment="1">
      <alignment horizontal="center" vertical="center"/>
    </xf>
    <xf numFmtId="165" fontId="95" fillId="26" borderId="28" xfId="3" applyNumberFormat="1" applyFont="1" applyFill="1" applyBorder="1" applyAlignment="1">
      <alignment horizontal="center" vertical="center"/>
    </xf>
    <xf numFmtId="165" fontId="95" fillId="26" borderId="28" xfId="3" applyNumberFormat="1" applyFont="1" applyFill="1" applyBorder="1" applyAlignment="1">
      <alignment vertical="center"/>
    </xf>
    <xf numFmtId="173" fontId="93" fillId="0" borderId="0" xfId="1" applyNumberFormat="1" applyFont="1" applyFill="1" applyBorder="1" applyAlignment="1">
      <alignment horizontal="left" vertical="center" wrapText="1"/>
    </xf>
    <xf numFmtId="0" fontId="93" fillId="0" borderId="0" xfId="3" applyFont="1" applyAlignment="1">
      <alignment horizontal="center" vertical="center" wrapText="1"/>
    </xf>
    <xf numFmtId="1" fontId="93" fillId="0" borderId="0" xfId="0" applyNumberFormat="1" applyFont="1" applyAlignment="1">
      <alignment horizontal="center" vertical="center" wrapText="1" shrinkToFit="1"/>
    </xf>
    <xf numFmtId="0" fontId="93" fillId="0" borderId="0" xfId="3" applyFont="1" applyAlignment="1">
      <alignment horizontal="left" vertical="center" wrapText="1"/>
    </xf>
    <xf numFmtId="0" fontId="95" fillId="26" borderId="64" xfId="3" applyFont="1" applyFill="1" applyBorder="1" applyAlignment="1">
      <alignment vertical="center"/>
    </xf>
    <xf numFmtId="0" fontId="95" fillId="26" borderId="63" xfId="3" applyFont="1" applyFill="1" applyBorder="1" applyAlignment="1">
      <alignment vertical="center"/>
    </xf>
    <xf numFmtId="0" fontId="95" fillId="26" borderId="63" xfId="3" applyFont="1" applyFill="1" applyBorder="1" applyAlignment="1">
      <alignment horizontal="center" vertical="center"/>
    </xf>
    <xf numFmtId="165" fontId="95" fillId="26" borderId="63" xfId="3" applyNumberFormat="1" applyFont="1" applyFill="1" applyBorder="1" applyAlignment="1">
      <alignment horizontal="center" vertical="center"/>
    </xf>
    <xf numFmtId="0" fontId="95" fillId="26" borderId="63" xfId="3" applyFont="1" applyFill="1" applyBorder="1" applyAlignment="1">
      <alignment horizontal="left" vertical="center"/>
    </xf>
    <xf numFmtId="0" fontId="95" fillId="26" borderId="27" xfId="3" applyFont="1" applyFill="1" applyBorder="1" applyAlignment="1">
      <alignment vertical="center"/>
    </xf>
    <xf numFmtId="0" fontId="95" fillId="26" borderId="28" xfId="3" applyFont="1" applyFill="1" applyBorder="1" applyAlignment="1">
      <alignment horizontal="center" vertical="center" wrapText="1"/>
    </xf>
    <xf numFmtId="0" fontId="95" fillId="26" borderId="28" xfId="3" applyFont="1" applyFill="1" applyBorder="1" applyAlignment="1">
      <alignment vertical="center" wrapText="1"/>
    </xf>
    <xf numFmtId="1" fontId="93" fillId="62" borderId="28" xfId="0" applyNumberFormat="1" applyFont="1" applyFill="1" applyBorder="1" applyAlignment="1">
      <alignment horizontal="center" vertical="center" wrapText="1" shrinkToFit="1"/>
    </xf>
    <xf numFmtId="0" fontId="95" fillId="26" borderId="29" xfId="3" applyFont="1" applyFill="1" applyBorder="1" applyAlignment="1">
      <alignment horizontal="left" vertical="center"/>
    </xf>
    <xf numFmtId="43" fontId="93" fillId="0" borderId="0" xfId="1" applyFont="1" applyFill="1" applyBorder="1" applyAlignment="1">
      <alignment horizontal="left" vertical="center" wrapText="1"/>
    </xf>
    <xf numFmtId="49" fontId="93" fillId="0" borderId="0" xfId="0" quotePrefix="1" applyNumberFormat="1" applyFont="1" applyAlignment="1">
      <alignment horizontal="center" vertical="center" wrapText="1"/>
    </xf>
    <xf numFmtId="0" fontId="93" fillId="0" borderId="0" xfId="0" applyFont="1" applyAlignment="1">
      <alignment horizontal="center" vertical="center" wrapText="1"/>
    </xf>
    <xf numFmtId="171" fontId="93" fillId="0" borderId="0" xfId="0" applyNumberFormat="1" applyFont="1" applyAlignment="1">
      <alignment horizontal="center" vertical="center" wrapText="1"/>
    </xf>
    <xf numFmtId="165" fontId="93" fillId="0" borderId="0" xfId="0" applyNumberFormat="1" applyFont="1" applyAlignment="1">
      <alignment horizontal="center" vertical="center" wrapText="1"/>
    </xf>
    <xf numFmtId="43" fontId="93" fillId="0" borderId="0" xfId="1" applyFont="1" applyFill="1" applyBorder="1" applyAlignment="1">
      <alignment horizontal="center" vertical="center" wrapText="1"/>
    </xf>
    <xf numFmtId="43" fontId="93" fillId="0" borderId="0" xfId="3" applyNumberFormat="1" applyFont="1" applyAlignment="1">
      <alignment horizontal="center" vertical="center" wrapText="1"/>
    </xf>
    <xf numFmtId="43" fontId="94" fillId="0" borderId="0" xfId="3" applyNumberFormat="1" applyFont="1" applyAlignment="1">
      <alignment horizontal="center" vertical="center" wrapText="1"/>
    </xf>
    <xf numFmtId="166" fontId="93" fillId="0" borderId="0" xfId="0" applyNumberFormat="1" applyFont="1" applyAlignment="1">
      <alignment horizontal="center" vertical="center" wrapText="1" shrinkToFit="1"/>
    </xf>
    <xf numFmtId="0" fontId="91" fillId="0" borderId="0" xfId="0" applyFont="1" applyAlignment="1">
      <alignment vertical="center"/>
    </xf>
    <xf numFmtId="0" fontId="95" fillId="26" borderId="0" xfId="3" applyFont="1" applyFill="1" applyAlignment="1">
      <alignment vertical="center"/>
    </xf>
    <xf numFmtId="43" fontId="94" fillId="6" borderId="52" xfId="0" applyNumberFormat="1" applyFont="1" applyFill="1" applyBorder="1" applyAlignment="1">
      <alignment vertical="center"/>
    </xf>
    <xf numFmtId="165" fontId="9" fillId="0" borderId="0" xfId="3" applyNumberFormat="1" applyAlignment="1">
      <alignment horizontal="center"/>
    </xf>
    <xf numFmtId="165" fontId="9" fillId="0" borderId="52" xfId="3" applyNumberFormat="1" applyBorder="1" applyAlignment="1">
      <alignment horizontal="center"/>
    </xf>
    <xf numFmtId="165" fontId="9" fillId="0" borderId="0" xfId="3" applyNumberFormat="1" applyAlignment="1">
      <alignment horizontal="left"/>
    </xf>
    <xf numFmtId="0" fontId="114" fillId="0" borderId="52" xfId="0" applyFont="1" applyBorder="1" applyAlignment="1">
      <alignment horizontal="center" vertical="center" wrapText="1"/>
    </xf>
    <xf numFmtId="173" fontId="114" fillId="64" borderId="52" xfId="1" applyNumberFormat="1" applyFont="1" applyFill="1" applyBorder="1" applyAlignment="1">
      <alignment vertical="center" wrapText="1"/>
    </xf>
    <xf numFmtId="43" fontId="93" fillId="6" borderId="52" xfId="1" applyFont="1" applyFill="1" applyBorder="1" applyAlignment="1">
      <alignment horizontal="center" vertical="center" wrapText="1"/>
    </xf>
    <xf numFmtId="43" fontId="94" fillId="6" borderId="52" xfId="3" applyNumberFormat="1" applyFont="1" applyFill="1" applyBorder="1" applyAlignment="1">
      <alignment horizontal="center" vertical="center" wrapText="1"/>
    </xf>
    <xf numFmtId="1" fontId="93" fillId="6" borderId="52" xfId="0" applyNumberFormat="1" applyFont="1" applyFill="1" applyBorder="1" applyAlignment="1">
      <alignment horizontal="center" vertical="center" wrapText="1" shrinkToFit="1"/>
    </xf>
    <xf numFmtId="165" fontId="93" fillId="6" borderId="52" xfId="0" applyNumberFormat="1" applyFont="1" applyFill="1" applyBorder="1" applyAlignment="1">
      <alignment horizontal="center" vertical="center" wrapText="1" shrinkToFit="1"/>
    </xf>
    <xf numFmtId="43" fontId="93" fillId="6" borderId="52" xfId="3" applyNumberFormat="1" applyFont="1" applyFill="1" applyBorder="1" applyAlignment="1">
      <alignment horizontal="center" vertical="center" wrapText="1"/>
    </xf>
    <xf numFmtId="173" fontId="93" fillId="64" borderId="52" xfId="139" applyNumberFormat="1" applyFont="1" applyFill="1" applyBorder="1" applyAlignment="1">
      <alignment vertical="center" wrapText="1"/>
    </xf>
    <xf numFmtId="0" fontId="101" fillId="0" borderId="52" xfId="0" applyFont="1" applyBorder="1" applyAlignment="1">
      <alignment horizontal="left" vertical="center" wrapText="1"/>
    </xf>
    <xf numFmtId="0" fontId="101" fillId="0" borderId="52" xfId="0" applyFont="1" applyBorder="1" applyAlignment="1">
      <alignment vertical="center" wrapText="1"/>
    </xf>
    <xf numFmtId="0" fontId="100" fillId="0" borderId="52" xfId="0" applyFont="1" applyBorder="1" applyAlignment="1">
      <alignment horizontal="center" vertical="center" wrapText="1"/>
    </xf>
    <xf numFmtId="170" fontId="100" fillId="0" borderId="52" xfId="0" applyNumberFormat="1" applyFont="1" applyBorder="1" applyAlignment="1">
      <alignment horizontal="right" vertical="center" wrapText="1"/>
    </xf>
    <xf numFmtId="0" fontId="101" fillId="0" borderId="52" xfId="1" applyNumberFormat="1" applyFont="1" applyBorder="1" applyAlignment="1">
      <alignment horizontal="center" vertical="center"/>
    </xf>
    <xf numFmtId="3" fontId="101" fillId="0" borderId="52" xfId="1" applyNumberFormat="1" applyFont="1" applyBorder="1" applyAlignment="1">
      <alignment horizontal="center" vertical="center"/>
    </xf>
    <xf numFmtId="43" fontId="102" fillId="6" borderId="29" xfId="1" applyFont="1" applyFill="1" applyBorder="1" applyAlignment="1">
      <alignment horizontal="center" vertical="center"/>
    </xf>
    <xf numFmtId="9" fontId="100" fillId="0" borderId="52" xfId="0" applyNumberFormat="1" applyFont="1" applyBorder="1" applyAlignment="1">
      <alignment horizontal="center" vertical="center" wrapText="1"/>
    </xf>
    <xf numFmtId="0" fontId="101" fillId="0" borderId="52" xfId="0" applyFont="1" applyBorder="1" applyAlignment="1">
      <alignment vertical="center"/>
    </xf>
    <xf numFmtId="2" fontId="101" fillId="0" borderId="52" xfId="0" quotePrefix="1" applyNumberFormat="1" applyFont="1" applyBorder="1" applyAlignment="1">
      <alignment horizontal="center" vertical="center"/>
    </xf>
    <xf numFmtId="0" fontId="11" fillId="0" borderId="52" xfId="3" quotePrefix="1" applyFont="1" applyBorder="1" applyAlignment="1">
      <alignment horizontal="center" vertical="center" wrapText="1"/>
    </xf>
    <xf numFmtId="0" fontId="13" fillId="0" borderId="0" xfId="3" applyFont="1" applyAlignment="1">
      <alignment horizontal="center" vertical="center" wrapText="1"/>
    </xf>
    <xf numFmtId="0" fontId="48" fillId="0" borderId="52" xfId="0" quotePrefix="1" applyFont="1" applyBorder="1" applyAlignment="1">
      <alignment vertical="center" wrapText="1"/>
    </xf>
    <xf numFmtId="175" fontId="48" fillId="0" borderId="52" xfId="0" quotePrefix="1" applyNumberFormat="1" applyFont="1" applyBorder="1" applyAlignment="1">
      <alignment vertical="center" wrapText="1"/>
    </xf>
    <xf numFmtId="173" fontId="48" fillId="6" borderId="52" xfId="150" applyFont="1" applyFill="1" applyBorder="1" applyAlignment="1">
      <alignment vertical="center"/>
    </xf>
    <xf numFmtId="173" fontId="11" fillId="6" borderId="52" xfId="3" quotePrefix="1" applyNumberFormat="1" applyFont="1" applyFill="1" applyBorder="1" applyAlignment="1">
      <alignment vertical="center" wrapText="1"/>
    </xf>
    <xf numFmtId="0" fontId="117" fillId="8" borderId="55" xfId="3" applyFont="1" applyFill="1" applyBorder="1" applyAlignment="1">
      <alignment horizontal="left" vertical="center"/>
    </xf>
    <xf numFmtId="0" fontId="117" fillId="8" borderId="54" xfId="3" applyFont="1" applyFill="1" applyBorder="1" applyAlignment="1">
      <alignment horizontal="left" vertical="center"/>
    </xf>
    <xf numFmtId="175" fontId="117" fillId="8" borderId="54" xfId="3" applyNumberFormat="1" applyFont="1" applyFill="1" applyBorder="1" applyAlignment="1">
      <alignment horizontal="left" vertical="center"/>
    </xf>
    <xf numFmtId="0" fontId="117" fillId="8" borderId="56" xfId="3" applyFont="1" applyFill="1" applyBorder="1" applyAlignment="1">
      <alignment horizontal="left" vertical="center"/>
    </xf>
    <xf numFmtId="0" fontId="11" fillId="0" borderId="52" xfId="0" applyFont="1" applyBorder="1" applyAlignment="1">
      <alignment horizontal="center" vertical="center" wrapText="1"/>
    </xf>
    <xf numFmtId="0" fontId="48" fillId="0" borderId="52" xfId="0" applyFont="1" applyBorder="1" applyAlignment="1">
      <alignment horizontal="center" vertical="center" wrapText="1"/>
    </xf>
    <xf numFmtId="0" fontId="11" fillId="0" borderId="52" xfId="0" applyFont="1" applyBorder="1" applyAlignment="1">
      <alignment horizontal="left" vertical="center" wrapText="1"/>
    </xf>
    <xf numFmtId="173" fontId="11" fillId="0" borderId="52" xfId="141" applyNumberFormat="1" applyFont="1" applyFill="1" applyBorder="1" applyAlignment="1">
      <alignment horizontal="left" vertical="center" wrapText="1"/>
    </xf>
    <xf numFmtId="173" fontId="11" fillId="0" borderId="52" xfId="1" applyNumberFormat="1" applyFont="1" applyFill="1" applyBorder="1" applyAlignment="1">
      <alignment horizontal="center" vertical="center" wrapText="1"/>
    </xf>
    <xf numFmtId="15" fontId="11" fillId="0" borderId="52" xfId="3" applyNumberFormat="1" applyFont="1" applyBorder="1" applyAlignment="1">
      <alignment horizontal="center" vertical="center" wrapText="1"/>
    </xf>
    <xf numFmtId="15" fontId="11" fillId="0" borderId="52" xfId="0" applyNumberFormat="1" applyFont="1" applyBorder="1" applyAlignment="1">
      <alignment horizontal="center" vertical="center" wrapText="1"/>
    </xf>
    <xf numFmtId="174" fontId="11" fillId="0" borderId="52" xfId="0" applyNumberFormat="1" applyFont="1" applyBorder="1" applyAlignment="1">
      <alignment horizontal="center" vertical="center" wrapText="1"/>
    </xf>
    <xf numFmtId="165" fontId="11" fillId="0" borderId="52" xfId="0" applyNumberFormat="1" applyFont="1" applyBorder="1" applyAlignment="1">
      <alignment horizontal="center" vertical="center" wrapText="1"/>
    </xf>
    <xf numFmtId="0" fontId="11" fillId="0" borderId="52" xfId="3" applyFont="1" applyBorder="1" applyAlignment="1">
      <alignment horizontal="center" vertical="center" wrapText="1"/>
    </xf>
    <xf numFmtId="43" fontId="11" fillId="6" borderId="52" xfId="0" applyNumberFormat="1" applyFont="1" applyFill="1" applyBorder="1" applyAlignment="1">
      <alignment horizontal="center" vertical="center" wrapText="1"/>
    </xf>
    <xf numFmtId="0" fontId="11" fillId="0" borderId="52" xfId="73" applyFont="1" applyBorder="1" applyAlignment="1">
      <alignment horizontal="left" vertical="center" wrapText="1"/>
    </xf>
    <xf numFmtId="0" fontId="48" fillId="0" borderId="52" xfId="0" applyFont="1" applyBorder="1" applyAlignment="1">
      <alignment horizontal="center" vertical="center"/>
    </xf>
    <xf numFmtId="0" fontId="12" fillId="0" borderId="52" xfId="0" applyFont="1" applyBorder="1" applyAlignment="1">
      <alignment vertical="center" wrapText="1"/>
    </xf>
    <xf numFmtId="0" fontId="11" fillId="0" borderId="52" xfId="0" applyFont="1" applyBorder="1" applyAlignment="1">
      <alignment vertical="center" wrapText="1"/>
    </xf>
    <xf numFmtId="165" fontId="11" fillId="0" borderId="52" xfId="0" applyNumberFormat="1" applyFont="1" applyBorder="1" applyAlignment="1">
      <alignment vertical="center" wrapText="1"/>
    </xf>
    <xf numFmtId="0" fontId="11" fillId="4" borderId="52" xfId="3" applyFont="1" applyFill="1" applyBorder="1" applyAlignment="1">
      <alignment horizontal="center" vertical="center" wrapText="1"/>
    </xf>
    <xf numFmtId="2" fontId="103" fillId="0" borderId="54" xfId="3" applyNumberFormat="1" applyFont="1" applyBorder="1" applyAlignment="1">
      <alignment horizontal="left" vertical="center" wrapText="1"/>
    </xf>
    <xf numFmtId="0" fontId="103" fillId="0" borderId="56" xfId="3" applyFont="1" applyBorder="1" applyAlignment="1">
      <alignment horizontal="left" vertical="center" wrapText="1"/>
    </xf>
    <xf numFmtId="0" fontId="101" fillId="3" borderId="52" xfId="0" applyFont="1" applyFill="1" applyBorder="1" applyAlignment="1">
      <alignment horizontal="left" vertical="center"/>
    </xf>
    <xf numFmtId="0" fontId="101" fillId="3" borderId="52" xfId="0" applyFont="1" applyFill="1" applyBorder="1" applyAlignment="1">
      <alignment horizontal="center" vertical="center" wrapText="1"/>
    </xf>
    <xf numFmtId="0" fontId="48" fillId="0" borderId="52" xfId="0" quotePrefix="1" applyFont="1" applyBorder="1" applyAlignment="1">
      <alignment horizontal="left" vertical="center" wrapText="1"/>
    </xf>
    <xf numFmtId="0" fontId="93" fillId="3" borderId="0" xfId="0" applyFont="1" applyFill="1" applyAlignment="1">
      <alignment horizontal="left" vertical="center"/>
    </xf>
    <xf numFmtId="2" fontId="101" fillId="3" borderId="52" xfId="0" applyNumberFormat="1" applyFont="1" applyFill="1" applyBorder="1" applyAlignment="1">
      <alignment horizontal="left" vertical="center"/>
    </xf>
    <xf numFmtId="0" fontId="77" fillId="0" borderId="52" xfId="0" applyFont="1" applyBorder="1" applyAlignment="1">
      <alignment horizontal="center" wrapText="1"/>
    </xf>
    <xf numFmtId="0" fontId="11" fillId="0" borderId="52" xfId="3" quotePrefix="1" applyFont="1" applyBorder="1" applyAlignment="1">
      <alignment horizontal="left" vertical="center" wrapText="1"/>
    </xf>
    <xf numFmtId="14" fontId="11" fillId="0" borderId="52" xfId="3" quotePrefix="1" applyNumberFormat="1" applyFont="1" applyBorder="1" applyAlignment="1">
      <alignment horizontal="left" vertical="center" wrapText="1"/>
    </xf>
    <xf numFmtId="43" fontId="48" fillId="6" borderId="52" xfId="1" applyFont="1" applyFill="1" applyBorder="1" applyAlignment="1">
      <alignment vertical="center"/>
    </xf>
    <xf numFmtId="43" fontId="11" fillId="6" borderId="52" xfId="3" quotePrefix="1" applyNumberFormat="1" applyFont="1" applyFill="1" applyBorder="1" applyAlignment="1">
      <alignment horizontal="left" vertical="center" wrapText="1"/>
    </xf>
    <xf numFmtId="0" fontId="68" fillId="0" borderId="52" xfId="3" applyFont="1" applyBorder="1" applyAlignment="1">
      <alignment horizontal="center" vertical="center" wrapText="1"/>
    </xf>
    <xf numFmtId="43" fontId="101" fillId="0" borderId="53" xfId="1" applyFont="1" applyBorder="1" applyAlignment="1">
      <alignment horizontal="center" vertical="center"/>
    </xf>
    <xf numFmtId="43" fontId="101" fillId="6" borderId="53" xfId="1" applyFont="1" applyFill="1" applyBorder="1" applyAlignment="1">
      <alignment horizontal="center" vertical="center"/>
    </xf>
    <xf numFmtId="0" fontId="101" fillId="0" borderId="26" xfId="0" applyFont="1" applyBorder="1" applyAlignment="1">
      <alignment vertical="center" wrapText="1"/>
    </xf>
    <xf numFmtId="4" fontId="11" fillId="0" borderId="52" xfId="3" quotePrefix="1" applyNumberFormat="1" applyFont="1" applyBorder="1" applyAlignment="1">
      <alignment horizontal="left" vertical="center" wrapText="1"/>
    </xf>
    <xf numFmtId="0" fontId="93" fillId="0" borderId="52" xfId="0" applyFont="1" applyBorder="1" applyAlignment="1">
      <alignment horizontal="left" vertical="center"/>
    </xf>
    <xf numFmtId="173" fontId="114" fillId="0" borderId="52" xfId="1" applyNumberFormat="1" applyFont="1" applyFill="1" applyBorder="1" applyAlignment="1">
      <alignment vertical="center" wrapText="1"/>
    </xf>
    <xf numFmtId="49" fontId="93" fillId="0" borderId="52" xfId="0" quotePrefix="1" applyNumberFormat="1" applyFont="1" applyBorder="1" applyAlignment="1">
      <alignment horizontal="center" vertical="center" wrapText="1"/>
    </xf>
    <xf numFmtId="49" fontId="117" fillId="8" borderId="54" xfId="3" applyNumberFormat="1" applyFont="1" applyFill="1" applyBorder="1" applyAlignment="1">
      <alignment horizontal="left" vertical="center"/>
    </xf>
    <xf numFmtId="176" fontId="101" fillId="3" borderId="52" xfId="0" applyNumberFormat="1" applyFont="1" applyFill="1" applyBorder="1" applyAlignment="1">
      <alignment horizontal="left" vertical="center"/>
    </xf>
    <xf numFmtId="49" fontId="11" fillId="0" borderId="52" xfId="3" quotePrefix="1" applyNumberFormat="1" applyFont="1" applyBorder="1" applyAlignment="1">
      <alignment horizontal="left" vertical="center" wrapText="1"/>
    </xf>
    <xf numFmtId="10" fontId="101" fillId="3" borderId="52" xfId="0" applyNumberFormat="1" applyFont="1" applyFill="1" applyBorder="1" applyAlignment="1">
      <alignment horizontal="left" vertical="center"/>
    </xf>
    <xf numFmtId="10" fontId="101" fillId="0" borderId="52" xfId="0" quotePrefix="1" applyNumberFormat="1" applyFont="1" applyBorder="1" applyAlignment="1">
      <alignment horizontal="center" vertical="center"/>
    </xf>
    <xf numFmtId="0" fontId="104" fillId="8" borderId="20" xfId="3" applyFont="1" applyFill="1" applyBorder="1" applyAlignment="1">
      <alignment horizontal="left" vertical="center"/>
    </xf>
    <xf numFmtId="0" fontId="104" fillId="8" borderId="21" xfId="3" applyFont="1" applyFill="1" applyBorder="1" applyAlignment="1">
      <alignment horizontal="left" vertical="center"/>
    </xf>
    <xf numFmtId="0" fontId="104" fillId="8" borderId="22" xfId="3" applyFont="1" applyFill="1" applyBorder="1" applyAlignment="1">
      <alignment horizontal="left" vertical="center"/>
    </xf>
    <xf numFmtId="0" fontId="102" fillId="0" borderId="30" xfId="0" applyFont="1" applyBorder="1" applyAlignment="1">
      <alignment horizontal="right" vertical="center"/>
    </xf>
    <xf numFmtId="0" fontId="102" fillId="0" borderId="31" xfId="0" applyFont="1" applyBorder="1" applyAlignment="1">
      <alignment horizontal="right" vertical="center"/>
    </xf>
    <xf numFmtId="0" fontId="102" fillId="0" borderId="32" xfId="0" applyFont="1" applyBorder="1" applyAlignment="1">
      <alignment horizontal="right" vertical="center"/>
    </xf>
    <xf numFmtId="0" fontId="104" fillId="3" borderId="23" xfId="0" applyFont="1" applyFill="1" applyBorder="1" applyAlignment="1">
      <alignment horizontal="left" vertical="center"/>
    </xf>
    <xf numFmtId="164" fontId="10" fillId="3" borderId="0" xfId="3" applyNumberFormat="1" applyFont="1" applyFill="1" applyAlignment="1">
      <alignment horizontal="center" wrapText="1"/>
    </xf>
    <xf numFmtId="164" fontId="10" fillId="3" borderId="0" xfId="3" applyNumberFormat="1" applyFont="1" applyFill="1" applyAlignment="1">
      <alignment horizontal="center" vertical="top" wrapText="1"/>
    </xf>
    <xf numFmtId="43" fontId="104" fillId="3" borderId="55" xfId="1" applyFont="1" applyFill="1" applyBorder="1" applyAlignment="1">
      <alignment horizontal="left" vertical="center"/>
    </xf>
    <xf numFmtId="43" fontId="104" fillId="3" borderId="54" xfId="1" applyFont="1" applyFill="1" applyBorder="1" applyAlignment="1">
      <alignment horizontal="left" vertical="center"/>
    </xf>
    <xf numFmtId="43" fontId="104" fillId="3" borderId="56" xfId="1" applyFont="1" applyFill="1" applyBorder="1" applyAlignment="1">
      <alignment horizontal="left" vertical="center"/>
    </xf>
    <xf numFmtId="17" fontId="104" fillId="3" borderId="55" xfId="0" quotePrefix="1" applyNumberFormat="1" applyFont="1" applyFill="1" applyBorder="1" applyAlignment="1">
      <alignment horizontal="right" vertical="center"/>
    </xf>
    <xf numFmtId="17" fontId="104" fillId="3" borderId="54" xfId="0" quotePrefix="1" applyNumberFormat="1" applyFont="1" applyFill="1" applyBorder="1" applyAlignment="1">
      <alignment horizontal="right" vertical="center"/>
    </xf>
    <xf numFmtId="17" fontId="104" fillId="3" borderId="56" xfId="0" quotePrefix="1" applyNumberFormat="1" applyFont="1" applyFill="1" applyBorder="1" applyAlignment="1">
      <alignment horizontal="right" vertical="center"/>
    </xf>
    <xf numFmtId="43" fontId="104" fillId="3" borderId="55" xfId="1" applyFont="1" applyFill="1" applyBorder="1" applyAlignment="1">
      <alignment horizontal="center" vertical="center"/>
    </xf>
    <xf numFmtId="43" fontId="104" fillId="3" borderId="54" xfId="1" applyFont="1" applyFill="1" applyBorder="1" applyAlignment="1">
      <alignment horizontal="center" vertical="center"/>
    </xf>
    <xf numFmtId="43" fontId="104" fillId="3" borderId="56" xfId="1" applyFont="1" applyFill="1" applyBorder="1" applyAlignment="1">
      <alignment horizontal="center" vertical="center"/>
    </xf>
    <xf numFmtId="0" fontId="48" fillId="3" borderId="0" xfId="0" applyFont="1" applyFill="1" applyAlignment="1">
      <alignment horizontal="right" vertical="center"/>
    </xf>
    <xf numFmtId="0" fontId="48" fillId="3" borderId="12" xfId="0" applyFont="1" applyFill="1" applyBorder="1" applyAlignment="1">
      <alignment horizontal="right" vertical="center"/>
    </xf>
    <xf numFmtId="43" fontId="48" fillId="3" borderId="0" xfId="1" applyFont="1" applyFill="1" applyBorder="1" applyAlignment="1">
      <alignment horizontal="right" vertical="center" wrapText="1"/>
    </xf>
    <xf numFmtId="43" fontId="48" fillId="3" borderId="12" xfId="1" applyFont="1" applyFill="1" applyBorder="1" applyAlignment="1">
      <alignment horizontal="right" vertical="center" wrapText="1"/>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11" xfId="0" applyFont="1" applyBorder="1" applyAlignment="1">
      <alignment horizontal="left" vertical="center" wrapText="1"/>
    </xf>
    <xf numFmtId="0" fontId="5" fillId="0" borderId="0" xfId="0" applyFont="1" applyAlignment="1">
      <alignment horizontal="left" vertical="center" wrapText="1"/>
    </xf>
    <xf numFmtId="0" fontId="5" fillId="0" borderId="12" xfId="0" applyFont="1" applyBorder="1" applyAlignment="1">
      <alignment horizontal="left" vertical="center" wrapText="1"/>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0" xfId="0" applyFont="1" applyBorder="1" applyAlignment="1">
      <alignment horizontal="center" vertical="center"/>
    </xf>
    <xf numFmtId="0" fontId="5" fillId="0" borderId="19" xfId="0" applyFont="1" applyBorder="1" applyAlignment="1">
      <alignment horizontal="center" vertical="center"/>
    </xf>
    <xf numFmtId="0" fontId="5" fillId="0" borderId="26" xfId="0" applyFont="1" applyBorder="1" applyAlignment="1">
      <alignment horizontal="center" vertical="center"/>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27"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23"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23" xfId="0" applyFont="1" applyBorder="1" applyAlignment="1">
      <alignment horizontal="center" vertical="center"/>
    </xf>
    <xf numFmtId="0" fontId="5" fillId="0" borderId="26"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2" xfId="0" applyFont="1" applyBorder="1" applyAlignment="1">
      <alignment horizontal="center" vertical="center" wrapText="1"/>
    </xf>
    <xf numFmtId="43" fontId="76" fillId="3" borderId="23" xfId="1" quotePrefix="1" applyFont="1" applyFill="1" applyBorder="1" applyAlignment="1">
      <alignment horizontal="center" vertical="center"/>
    </xf>
    <xf numFmtId="43" fontId="76" fillId="3" borderId="23" xfId="1" applyFont="1" applyFill="1" applyBorder="1" applyAlignment="1">
      <alignment horizontal="right" vertical="center"/>
    </xf>
    <xf numFmtId="164" fontId="36" fillId="3" borderId="0" xfId="3" applyNumberFormat="1" applyFont="1" applyFill="1" applyAlignment="1">
      <alignment horizontal="center" vertical="center" wrapText="1"/>
    </xf>
    <xf numFmtId="164" fontId="36" fillId="3" borderId="0" xfId="3" applyNumberFormat="1" applyFont="1" applyFill="1" applyAlignment="1">
      <alignment horizontal="center" vertical="top" wrapText="1"/>
    </xf>
    <xf numFmtId="164" fontId="36" fillId="3" borderId="0" xfId="3" applyNumberFormat="1" applyFont="1" applyFill="1" applyAlignment="1">
      <alignment horizontal="center" wrapText="1"/>
    </xf>
    <xf numFmtId="0" fontId="76" fillId="3" borderId="30" xfId="0" applyFont="1" applyFill="1" applyBorder="1" applyAlignment="1">
      <alignment horizontal="right" vertical="center"/>
    </xf>
    <xf numFmtId="0" fontId="76" fillId="3" borderId="31" xfId="0" applyFont="1" applyFill="1" applyBorder="1" applyAlignment="1">
      <alignment horizontal="right" vertical="center"/>
    </xf>
    <xf numFmtId="0" fontId="76" fillId="3" borderId="32" xfId="0" applyFont="1" applyFill="1" applyBorder="1" applyAlignment="1">
      <alignment horizontal="right" vertical="center"/>
    </xf>
    <xf numFmtId="0" fontId="76" fillId="3" borderId="23" xfId="0" applyFont="1" applyFill="1" applyBorder="1" applyAlignment="1">
      <alignment horizontal="right" vertical="center"/>
    </xf>
    <xf numFmtId="17" fontId="76" fillId="3" borderId="30" xfId="0" quotePrefix="1" applyNumberFormat="1" applyFont="1" applyFill="1" applyBorder="1" applyAlignment="1">
      <alignment horizontal="right" vertical="center"/>
    </xf>
    <xf numFmtId="43" fontId="43" fillId="3" borderId="55" xfId="1" applyFont="1" applyFill="1" applyBorder="1" applyAlignment="1">
      <alignment horizontal="left" vertical="center"/>
    </xf>
    <xf numFmtId="43" fontId="43" fillId="3" borderId="56" xfId="1" applyFont="1" applyFill="1" applyBorder="1" applyAlignment="1">
      <alignment horizontal="left" vertical="center"/>
    </xf>
    <xf numFmtId="0" fontId="72" fillId="3" borderId="0" xfId="0" applyFont="1" applyFill="1" applyAlignment="1">
      <alignment horizontal="right" vertical="center" wrapText="1"/>
    </xf>
    <xf numFmtId="0" fontId="72" fillId="3" borderId="12" xfId="0" applyFont="1" applyFill="1" applyBorder="1" applyAlignment="1">
      <alignment horizontal="right" vertical="center" wrapText="1"/>
    </xf>
    <xf numFmtId="0" fontId="72" fillId="3" borderId="0" xfId="0" applyFont="1" applyFill="1" applyAlignment="1">
      <alignment horizontal="right" vertical="center"/>
    </xf>
    <xf numFmtId="0" fontId="72" fillId="3" borderId="12" xfId="0" applyFont="1" applyFill="1" applyBorder="1" applyAlignment="1">
      <alignment horizontal="right" vertical="center"/>
    </xf>
    <xf numFmtId="164" fontId="43" fillId="3" borderId="23" xfId="3" applyNumberFormat="1" applyFont="1" applyFill="1" applyBorder="1" applyAlignment="1">
      <alignment horizontal="center" vertical="center" wrapText="1"/>
    </xf>
    <xf numFmtId="0" fontId="44" fillId="3" borderId="23" xfId="3" applyFont="1" applyFill="1" applyBorder="1" applyAlignment="1">
      <alignment vertical="center" wrapText="1"/>
    </xf>
    <xf numFmtId="0" fontId="44" fillId="3" borderId="23" xfId="3" applyFont="1" applyFill="1" applyBorder="1" applyAlignment="1">
      <alignment horizontal="center" vertical="center"/>
    </xf>
    <xf numFmtId="0" fontId="43" fillId="3" borderId="23" xfId="3" applyFont="1" applyFill="1" applyBorder="1" applyAlignment="1">
      <alignment horizontal="center" vertical="center" wrapText="1"/>
    </xf>
    <xf numFmtId="0" fontId="44" fillId="3" borderId="23" xfId="3" applyFont="1" applyFill="1" applyBorder="1" applyAlignment="1">
      <alignment horizontal="left" vertical="center" wrapText="1"/>
    </xf>
    <xf numFmtId="0" fontId="45" fillId="3" borderId="23" xfId="3" applyFont="1" applyFill="1" applyBorder="1" applyAlignment="1">
      <alignment horizontal="center" vertical="center" wrapText="1"/>
    </xf>
    <xf numFmtId="4" fontId="43" fillId="3" borderId="23" xfId="3" applyNumberFormat="1" applyFont="1" applyFill="1" applyBorder="1" applyAlignment="1">
      <alignment horizontal="center" vertical="center" wrapText="1"/>
    </xf>
    <xf numFmtId="0" fontId="45" fillId="3" borderId="23" xfId="3" applyFont="1" applyFill="1" applyBorder="1" applyAlignment="1">
      <alignment horizontal="left" vertical="center" wrapText="1"/>
    </xf>
    <xf numFmtId="2" fontId="43" fillId="3" borderId="23" xfId="1" applyNumberFormat="1" applyFont="1" applyFill="1" applyBorder="1" applyAlignment="1">
      <alignment horizontal="center" vertical="center" wrapText="1"/>
    </xf>
    <xf numFmtId="4" fontId="43" fillId="3" borderId="23" xfId="3" applyNumberFormat="1" applyFont="1" applyFill="1" applyBorder="1" applyAlignment="1">
      <alignment horizontal="center" vertical="center"/>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0" fontId="96" fillId="3" borderId="12" xfId="0" applyFont="1" applyFill="1" applyBorder="1" applyAlignment="1">
      <alignment horizontal="right" vertical="center" wrapText="1"/>
    </xf>
    <xf numFmtId="4" fontId="95" fillId="0" borderId="30" xfId="0" applyNumberFormat="1" applyFont="1" applyBorder="1" applyAlignment="1">
      <alignment horizontal="left" vertical="center"/>
    </xf>
    <xf numFmtId="4" fontId="95" fillId="0" borderId="31" xfId="0" applyNumberFormat="1" applyFont="1" applyBorder="1" applyAlignment="1">
      <alignment horizontal="left" vertical="center"/>
    </xf>
    <xf numFmtId="17" fontId="95" fillId="3" borderId="30" xfId="0" quotePrefix="1" applyNumberFormat="1" applyFont="1" applyFill="1" applyBorder="1" applyAlignment="1">
      <alignment horizontal="left" vertical="center"/>
    </xf>
    <xf numFmtId="17" fontId="95" fillId="3" borderId="31" xfId="0" applyNumberFormat="1" applyFont="1" applyFill="1" applyBorder="1" applyAlignment="1">
      <alignment horizontal="left" vertical="center"/>
    </xf>
    <xf numFmtId="17" fontId="95" fillId="3" borderId="32" xfId="0" applyNumberFormat="1" applyFont="1" applyFill="1" applyBorder="1" applyAlignment="1">
      <alignment horizontal="left" vertical="center" wrapText="1"/>
    </xf>
    <xf numFmtId="165" fontId="96" fillId="3" borderId="0" xfId="0" applyNumberFormat="1" applyFont="1" applyFill="1" applyAlignment="1">
      <alignment horizontal="right" wrapText="1"/>
    </xf>
    <xf numFmtId="165" fontId="96" fillId="3" borderId="12" xfId="0" applyNumberFormat="1" applyFont="1" applyFill="1" applyBorder="1" applyAlignment="1">
      <alignment horizontal="right"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vertical="center" wrapText="1"/>
    </xf>
    <xf numFmtId="164" fontId="94" fillId="3" borderId="0" xfId="3" applyNumberFormat="1" applyFont="1" applyFill="1" applyAlignment="1">
      <alignment horizontal="left" vertical="center" wrapText="1"/>
    </xf>
    <xf numFmtId="0" fontId="95" fillId="3" borderId="30" xfId="0" applyFont="1" applyFill="1" applyBorder="1" applyAlignment="1">
      <alignment vertical="center"/>
    </xf>
    <xf numFmtId="0" fontId="95" fillId="3" borderId="31" xfId="0" applyFont="1" applyFill="1" applyBorder="1" applyAlignment="1">
      <alignment vertical="center"/>
    </xf>
    <xf numFmtId="0" fontId="95" fillId="3" borderId="32" xfId="0" applyFont="1" applyFill="1" applyBorder="1" applyAlignment="1">
      <alignment vertical="center" wrapText="1"/>
    </xf>
    <xf numFmtId="167" fontId="96" fillId="3" borderId="0" xfId="0" applyNumberFormat="1" applyFont="1" applyFill="1" applyAlignment="1">
      <alignment horizontal="right" vertical="center"/>
    </xf>
    <xf numFmtId="165" fontId="96" fillId="3" borderId="0" xfId="0" applyNumberFormat="1" applyFont="1" applyFill="1" applyAlignment="1">
      <alignment horizontal="right" vertical="center"/>
    </xf>
    <xf numFmtId="165" fontId="96" fillId="3" borderId="12" xfId="0" applyNumberFormat="1" applyFont="1" applyFill="1" applyBorder="1" applyAlignment="1">
      <alignment horizontal="right" vertical="center"/>
    </xf>
    <xf numFmtId="168" fontId="95" fillId="0" borderId="55" xfId="0" quotePrefix="1" applyNumberFormat="1" applyFont="1" applyBorder="1" applyAlignment="1">
      <alignment horizontal="left" vertical="center"/>
    </xf>
    <xf numFmtId="168" fontId="95" fillId="0" borderId="54" xfId="0" quotePrefix="1" applyNumberFormat="1" applyFont="1" applyBorder="1" applyAlignment="1">
      <alignment horizontal="left" vertical="center"/>
    </xf>
    <xf numFmtId="0" fontId="94" fillId="0" borderId="55" xfId="0" applyFont="1" applyBorder="1" applyAlignment="1">
      <alignment horizontal="right" vertical="center" wrapText="1"/>
    </xf>
    <xf numFmtId="0" fontId="94" fillId="0" borderId="54" xfId="0" applyFont="1" applyBorder="1" applyAlignment="1">
      <alignment horizontal="right" vertical="center" wrapText="1"/>
    </xf>
    <xf numFmtId="0" fontId="94" fillId="0" borderId="56" xfId="0" applyFont="1" applyBorder="1" applyAlignment="1">
      <alignment horizontal="right" vertical="center" wrapText="1"/>
    </xf>
    <xf numFmtId="0" fontId="94" fillId="0" borderId="52" xfId="0" applyFont="1" applyBorder="1" applyAlignment="1">
      <alignment horizontal="right" vertical="center" wrapText="1"/>
    </xf>
    <xf numFmtId="165" fontId="94" fillId="0" borderId="52" xfId="0" applyNumberFormat="1" applyFont="1" applyBorder="1" applyAlignment="1">
      <alignment horizontal="right" vertical="center" wrapText="1"/>
    </xf>
    <xf numFmtId="0" fontId="98" fillId="7" borderId="23" xfId="3" applyFont="1" applyFill="1" applyBorder="1" applyAlignment="1">
      <alignment horizontal="center" vertical="center" wrapText="1"/>
    </xf>
    <xf numFmtId="49" fontId="98" fillId="7" borderId="23" xfId="3" applyNumberFormat="1" applyFont="1" applyFill="1" applyBorder="1" applyAlignment="1">
      <alignment horizontal="center" vertical="center" wrapText="1"/>
    </xf>
    <xf numFmtId="0" fontId="98" fillId="7" borderId="55" xfId="3" applyFont="1" applyFill="1" applyBorder="1" applyAlignment="1">
      <alignment horizontal="center" vertical="center" wrapText="1"/>
    </xf>
    <xf numFmtId="0" fontId="98" fillId="7" borderId="54" xfId="3" applyFont="1" applyFill="1" applyBorder="1" applyAlignment="1">
      <alignment horizontal="center" vertical="center" wrapText="1"/>
    </xf>
    <xf numFmtId="165" fontId="98" fillId="7" borderId="54" xfId="3" applyNumberFormat="1" applyFont="1" applyFill="1" applyBorder="1" applyAlignment="1">
      <alignment horizontal="center" vertical="center" wrapText="1"/>
    </xf>
    <xf numFmtId="0" fontId="98" fillId="7" borderId="56" xfId="3" applyFont="1" applyFill="1" applyBorder="1" applyAlignment="1">
      <alignment horizontal="left" vertical="center" wrapText="1"/>
    </xf>
    <xf numFmtId="1" fontId="98" fillId="7" borderId="23" xfId="3" applyNumberFormat="1" applyFont="1" applyFill="1" applyBorder="1" applyAlignment="1">
      <alignment horizontal="center" vertical="center" wrapText="1"/>
    </xf>
    <xf numFmtId="0" fontId="98" fillId="7" borderId="30" xfId="3" applyFont="1" applyFill="1" applyBorder="1" applyAlignment="1">
      <alignment horizontal="center" vertical="center" wrapText="1"/>
    </xf>
    <xf numFmtId="0" fontId="98" fillId="7" borderId="31" xfId="3" applyFont="1" applyFill="1" applyBorder="1" applyAlignment="1">
      <alignment vertical="center" wrapText="1"/>
    </xf>
    <xf numFmtId="0" fontId="98" fillId="7" borderId="32" xfId="3" applyFont="1" applyFill="1" applyBorder="1" applyAlignment="1">
      <alignment horizontal="center" vertical="center" wrapText="1"/>
    </xf>
    <xf numFmtId="169" fontId="98" fillId="7" borderId="23" xfId="3" applyNumberFormat="1" applyFont="1" applyFill="1" applyBorder="1" applyAlignment="1">
      <alignment horizontal="center" vertical="center" wrapText="1"/>
    </xf>
    <xf numFmtId="165" fontId="98" fillId="7" borderId="23" xfId="3" applyNumberFormat="1" applyFont="1" applyFill="1" applyBorder="1" applyAlignment="1">
      <alignment horizontal="center" vertical="center" wrapText="1"/>
    </xf>
    <xf numFmtId="0" fontId="98" fillId="7" borderId="10" xfId="3" applyFont="1" applyFill="1" applyBorder="1" applyAlignment="1">
      <alignment horizontal="center" vertical="center" wrapText="1"/>
    </xf>
    <xf numFmtId="0" fontId="98" fillId="7" borderId="26" xfId="3" applyFont="1" applyFill="1" applyBorder="1" applyAlignment="1">
      <alignment horizontal="center" vertical="center" wrapText="1"/>
    </xf>
    <xf numFmtId="0" fontId="94" fillId="62" borderId="55" xfId="3" applyFont="1" applyFill="1" applyBorder="1" applyAlignment="1">
      <alignment horizontal="left" vertical="center"/>
    </xf>
    <xf numFmtId="0" fontId="94" fillId="62" borderId="54" xfId="3" applyFont="1" applyFill="1" applyBorder="1" applyAlignment="1">
      <alignment horizontal="left" vertical="center"/>
    </xf>
    <xf numFmtId="0" fontId="94" fillId="62" borderId="56" xfId="3" applyFont="1" applyFill="1" applyBorder="1" applyAlignment="1">
      <alignment horizontal="left" vertical="center"/>
    </xf>
    <xf numFmtId="17" fontId="97" fillId="0" borderId="54" xfId="0" applyNumberFormat="1" applyFont="1" applyBorder="1" applyAlignment="1">
      <alignment horizontal="center" vertical="center"/>
    </xf>
    <xf numFmtId="165" fontId="97" fillId="0" borderId="56" xfId="0" applyNumberFormat="1" applyFont="1" applyBorder="1" applyAlignment="1">
      <alignment horizontal="center" vertical="center"/>
    </xf>
    <xf numFmtId="0" fontId="94" fillId="0" borderId="55" xfId="3" applyFont="1" applyBorder="1" applyAlignment="1">
      <alignment horizontal="left" vertical="center"/>
    </xf>
    <xf numFmtId="0" fontId="94" fillId="0" borderId="54" xfId="3" applyFont="1" applyBorder="1" applyAlignment="1">
      <alignment horizontal="left" vertical="center"/>
    </xf>
    <xf numFmtId="0" fontId="94" fillId="0" borderId="56" xfId="3" applyFont="1" applyBorder="1" applyAlignment="1">
      <alignment horizontal="left" vertical="center"/>
    </xf>
    <xf numFmtId="0" fontId="103" fillId="0" borderId="55" xfId="3" applyFont="1" applyBorder="1" applyAlignment="1">
      <alignment horizontal="left" vertical="center" wrapText="1"/>
    </xf>
    <xf numFmtId="0" fontId="103" fillId="0" borderId="54" xfId="3" applyFont="1" applyBorder="1" applyAlignment="1">
      <alignment horizontal="left" vertical="center" wrapText="1"/>
    </xf>
    <xf numFmtId="0" fontId="82" fillId="3" borderId="30" xfId="0" applyFont="1" applyFill="1" applyBorder="1" applyAlignment="1">
      <alignment horizontal="left" vertical="center" wrapText="1"/>
    </xf>
    <xf numFmtId="0" fontId="82" fillId="3" borderId="32" xfId="0" applyFont="1" applyFill="1" applyBorder="1" applyAlignment="1">
      <alignment horizontal="left" vertical="center" wrapText="1"/>
    </xf>
    <xf numFmtId="164" fontId="69" fillId="3" borderId="0" xfId="3" applyNumberFormat="1" applyFont="1" applyFill="1" applyAlignment="1">
      <alignment horizontal="center" vertical="center" wrapText="1"/>
    </xf>
    <xf numFmtId="0" fontId="11" fillId="4" borderId="23" xfId="3" applyFont="1" applyFill="1" applyBorder="1" applyAlignment="1">
      <alignment horizontal="center" vertical="center" wrapText="1"/>
    </xf>
    <xf numFmtId="165" fontId="11" fillId="4" borderId="23" xfId="3" applyNumberFormat="1" applyFont="1" applyFill="1" applyBorder="1" applyAlignment="1">
      <alignment horizontal="center" vertical="center" wrapText="1"/>
    </xf>
    <xf numFmtId="0" fontId="82" fillId="3" borderId="55" xfId="0" applyFont="1" applyFill="1" applyBorder="1" applyAlignment="1">
      <alignment horizontal="left" vertical="center" wrapText="1"/>
    </xf>
    <xf numFmtId="0" fontId="82" fillId="3" borderId="56" xfId="0" applyFont="1" applyFill="1" applyBorder="1" applyAlignment="1">
      <alignment horizontal="left" vertical="center" wrapText="1"/>
    </xf>
    <xf numFmtId="0" fontId="85" fillId="3" borderId="0" xfId="0" applyFont="1" applyFill="1" applyAlignment="1">
      <alignment horizontal="right" vertical="center" wrapText="1"/>
    </xf>
    <xf numFmtId="0" fontId="85" fillId="3" borderId="12" xfId="0" applyFont="1" applyFill="1" applyBorder="1" applyAlignment="1">
      <alignment horizontal="right" vertical="center" wrapText="1"/>
    </xf>
    <xf numFmtId="17" fontId="82" fillId="3" borderId="30" xfId="0" quotePrefix="1" applyNumberFormat="1" applyFont="1" applyFill="1" applyBorder="1" applyAlignment="1">
      <alignment horizontal="left" vertical="center" wrapText="1"/>
    </xf>
    <xf numFmtId="17" fontId="82" fillId="3" borderId="31" xfId="0" quotePrefix="1" applyNumberFormat="1" applyFont="1" applyFill="1" applyBorder="1" applyAlignment="1">
      <alignment horizontal="left" vertical="center" wrapText="1"/>
    </xf>
    <xf numFmtId="4" fontId="82" fillId="3" borderId="30" xfId="0" applyNumberFormat="1" applyFont="1" applyFill="1" applyBorder="1" applyAlignment="1">
      <alignment horizontal="left" vertical="center" wrapText="1"/>
    </xf>
    <xf numFmtId="4" fontId="82" fillId="3" borderId="31" xfId="0" applyNumberFormat="1" applyFont="1" applyFill="1" applyBorder="1" applyAlignment="1">
      <alignment horizontal="left" vertical="center" wrapText="1"/>
    </xf>
    <xf numFmtId="1" fontId="11" fillId="4" borderId="23" xfId="3" applyNumberFormat="1" applyFont="1" applyFill="1" applyBorder="1" applyAlignment="1">
      <alignment horizontal="center" vertical="center" wrapText="1"/>
    </xf>
    <xf numFmtId="0" fontId="11" fillId="4" borderId="52" xfId="3" applyFont="1" applyFill="1" applyBorder="1" applyAlignment="1">
      <alignment horizontal="center" vertical="center" wrapText="1"/>
    </xf>
    <xf numFmtId="0" fontId="103" fillId="5" borderId="55" xfId="3" applyFont="1" applyFill="1" applyBorder="1" applyAlignment="1">
      <alignment horizontal="left" vertical="center" wrapText="1"/>
    </xf>
    <xf numFmtId="0" fontId="103" fillId="5" borderId="54" xfId="3" applyFont="1" applyFill="1" applyBorder="1" applyAlignment="1">
      <alignment horizontal="left" vertical="center" wrapText="1"/>
    </xf>
    <xf numFmtId="0" fontId="103" fillId="5" borderId="56" xfId="3" applyFont="1" applyFill="1" applyBorder="1" applyAlignment="1">
      <alignment horizontal="left" vertical="center" wrapText="1"/>
    </xf>
    <xf numFmtId="49" fontId="11" fillId="4" borderId="23" xfId="3" applyNumberFormat="1" applyFont="1" applyFill="1" applyBorder="1" applyAlignment="1">
      <alignment horizontal="center" vertical="center" wrapText="1"/>
    </xf>
    <xf numFmtId="49" fontId="11" fillId="4" borderId="52" xfId="3" applyNumberFormat="1" applyFont="1" applyFill="1" applyBorder="1" applyAlignment="1">
      <alignment horizontal="center" vertical="center" wrapText="1"/>
    </xf>
    <xf numFmtId="0" fontId="100" fillId="3" borderId="0" xfId="0" applyFont="1" applyFill="1" applyAlignment="1">
      <alignment horizontal="left" vertical="center"/>
    </xf>
    <xf numFmtId="17" fontId="102" fillId="3" borderId="52" xfId="0" quotePrefix="1" applyNumberFormat="1" applyFont="1" applyFill="1" applyBorder="1" applyAlignment="1">
      <alignment horizontal="right" vertical="center"/>
    </xf>
    <xf numFmtId="17" fontId="102" fillId="3" borderId="52" xfId="0" applyNumberFormat="1" applyFont="1" applyFill="1" applyBorder="1" applyAlignment="1">
      <alignment horizontal="right" vertical="center"/>
    </xf>
    <xf numFmtId="4" fontId="102" fillId="3" borderId="55" xfId="0" applyNumberFormat="1" applyFont="1" applyFill="1" applyBorder="1" applyAlignment="1">
      <alignment horizontal="right" vertical="center"/>
    </xf>
    <xf numFmtId="4" fontId="102" fillId="3" borderId="54" xfId="0" applyNumberFormat="1" applyFont="1" applyFill="1" applyBorder="1" applyAlignment="1">
      <alignment horizontal="right" vertical="center"/>
    </xf>
    <xf numFmtId="4" fontId="102" fillId="3" borderId="56" xfId="0" applyNumberFormat="1" applyFont="1" applyFill="1" applyBorder="1" applyAlignment="1">
      <alignment horizontal="right" vertical="center"/>
    </xf>
    <xf numFmtId="4" fontId="102" fillId="3" borderId="52" xfId="0" applyNumberFormat="1" applyFont="1" applyFill="1" applyBorder="1" applyAlignment="1">
      <alignment horizontal="right" vertical="center"/>
    </xf>
    <xf numFmtId="0" fontId="102" fillId="3" borderId="55" xfId="0" applyFont="1" applyFill="1" applyBorder="1" applyAlignment="1">
      <alignment horizontal="left" vertical="center"/>
    </xf>
    <xf numFmtId="0" fontId="102" fillId="3" borderId="54" xfId="0" applyFont="1" applyFill="1" applyBorder="1" applyAlignment="1">
      <alignment horizontal="left" vertical="center"/>
    </xf>
    <xf numFmtId="0" fontId="102" fillId="3" borderId="56" xfId="0" applyFont="1" applyFill="1" applyBorder="1" applyAlignment="1">
      <alignment horizontal="left" vertical="center"/>
    </xf>
    <xf numFmtId="0" fontId="100" fillId="3" borderId="0" xfId="0" applyFont="1" applyFill="1" applyAlignment="1">
      <alignment horizontal="right" vertical="center"/>
    </xf>
    <xf numFmtId="0" fontId="102" fillId="0" borderId="27" xfId="0" applyFont="1" applyBorder="1" applyAlignment="1">
      <alignment horizontal="right" vertical="center"/>
    </xf>
    <xf numFmtId="0" fontId="102" fillId="0" borderId="28" xfId="0" applyFont="1" applyBorder="1" applyAlignment="1">
      <alignment horizontal="right" vertical="center"/>
    </xf>
    <xf numFmtId="0" fontId="102" fillId="0" borderId="29" xfId="0" applyFont="1" applyBorder="1" applyAlignment="1">
      <alignment horizontal="right" vertical="center"/>
    </xf>
    <xf numFmtId="0" fontId="100" fillId="3" borderId="0" xfId="0" applyFont="1" applyFill="1" applyAlignment="1">
      <alignment horizontal="right" vertical="center" wrapText="1"/>
    </xf>
    <xf numFmtId="4" fontId="100" fillId="3" borderId="0" xfId="0" applyNumberFormat="1" applyFont="1" applyFill="1" applyAlignment="1">
      <alignment horizontal="right" vertical="center"/>
    </xf>
    <xf numFmtId="164" fontId="69" fillId="3" borderId="0" xfId="3" applyNumberFormat="1" applyFont="1" applyFill="1" applyAlignment="1">
      <alignment horizontal="center" wrapText="1"/>
    </xf>
    <xf numFmtId="17" fontId="100" fillId="3" borderId="0" xfId="0" quotePrefix="1" applyNumberFormat="1" applyFont="1" applyFill="1" applyAlignment="1">
      <alignment horizontal="right" vertical="center"/>
    </xf>
    <xf numFmtId="17" fontId="100" fillId="3" borderId="0" xfId="0" applyNumberFormat="1" applyFont="1" applyFill="1" applyAlignment="1">
      <alignment horizontal="right" vertical="center"/>
    </xf>
    <xf numFmtId="49" fontId="100" fillId="4" borderId="23" xfId="0" applyNumberFormat="1" applyFont="1" applyFill="1" applyBorder="1" applyAlignment="1">
      <alignment horizontal="center" vertical="center" wrapText="1"/>
    </xf>
    <xf numFmtId="43" fontId="100" fillId="4" borderId="23" xfId="1" applyFont="1" applyFill="1" applyBorder="1" applyAlignment="1">
      <alignment horizontal="center" vertical="center" wrapText="1"/>
    </xf>
    <xf numFmtId="4" fontId="100" fillId="4" borderId="23" xfId="0" applyNumberFormat="1" applyFont="1" applyFill="1" applyBorder="1" applyAlignment="1">
      <alignment horizontal="center" vertical="center" wrapText="1"/>
    </xf>
    <xf numFmtId="0" fontId="100" fillId="4" borderId="23" xfId="3" applyFont="1" applyFill="1" applyBorder="1" applyAlignment="1">
      <alignment horizontal="center" vertical="center" wrapText="1"/>
    </xf>
    <xf numFmtId="4" fontId="100" fillId="4" borderId="23" xfId="0" applyNumberFormat="1" applyFont="1" applyFill="1" applyBorder="1" applyAlignment="1">
      <alignment horizontal="center" vertical="center"/>
    </xf>
    <xf numFmtId="0" fontId="100" fillId="4" borderId="23" xfId="0" applyFont="1" applyFill="1" applyBorder="1" applyAlignment="1">
      <alignment horizontal="center" vertical="center" wrapText="1"/>
    </xf>
    <xf numFmtId="0" fontId="70" fillId="0" borderId="57" xfId="0" applyFont="1" applyBorder="1" applyAlignment="1">
      <alignment horizontal="left" vertical="center" wrapText="1"/>
    </xf>
    <xf numFmtId="0" fontId="70" fillId="0" borderId="58" xfId="0" applyFont="1" applyBorder="1" applyAlignment="1">
      <alignment horizontal="left" vertical="center" wrapText="1"/>
    </xf>
    <xf numFmtId="0" fontId="70" fillId="0" borderId="57" xfId="0" applyFont="1" applyBorder="1" applyAlignment="1">
      <alignment horizontal="center" vertical="center" wrapText="1"/>
    </xf>
    <xf numFmtId="0" fontId="70" fillId="0" borderId="58" xfId="0" applyFont="1" applyBorder="1" applyAlignment="1">
      <alignment horizontal="center" vertical="center" wrapText="1"/>
    </xf>
    <xf numFmtId="0" fontId="70" fillId="59" borderId="62" xfId="0" applyFont="1" applyFill="1" applyBorder="1" applyAlignment="1">
      <alignment vertical="center" wrapText="1"/>
    </xf>
    <xf numFmtId="0" fontId="70" fillId="59" borderId="15" xfId="0" applyFont="1" applyFill="1" applyBorder="1" applyAlignment="1">
      <alignment vertical="center" wrapText="1"/>
    </xf>
    <xf numFmtId="0" fontId="70" fillId="59" borderId="59" xfId="0" applyFont="1" applyFill="1" applyBorder="1" applyAlignment="1">
      <alignment vertical="center" wrapText="1"/>
    </xf>
    <xf numFmtId="0" fontId="72" fillId="7" borderId="30" xfId="3" applyFont="1" applyFill="1" applyBorder="1" applyAlignment="1">
      <alignment horizontal="center" vertical="center" wrapText="1"/>
    </xf>
    <xf numFmtId="0" fontId="72" fillId="7" borderId="31" xfId="3" applyFont="1" applyFill="1" applyBorder="1" applyAlignment="1">
      <alignment vertical="center" wrapText="1"/>
    </xf>
    <xf numFmtId="0" fontId="72" fillId="7" borderId="32" xfId="3" applyFont="1" applyFill="1" applyBorder="1" applyAlignment="1">
      <alignment horizontal="center" vertical="center" wrapText="1"/>
    </xf>
    <xf numFmtId="0" fontId="72" fillId="7" borderId="31" xfId="3" applyFont="1" applyFill="1" applyBorder="1" applyAlignment="1">
      <alignment horizontal="center" vertical="center" wrapText="1"/>
    </xf>
    <xf numFmtId="0" fontId="72" fillId="7" borderId="54" xfId="3" applyFont="1" applyFill="1" applyBorder="1" applyAlignment="1">
      <alignment horizontal="left" vertical="center" wrapText="1"/>
    </xf>
    <xf numFmtId="0" fontId="76" fillId="7" borderId="53" xfId="3" applyFont="1" applyFill="1" applyBorder="1" applyAlignment="1">
      <alignment horizontal="left" vertical="center" wrapText="1"/>
    </xf>
    <xf numFmtId="0" fontId="76" fillId="7" borderId="26" xfId="3" applyFont="1" applyFill="1" applyBorder="1" applyAlignment="1">
      <alignment horizontal="left" vertical="center" wrapText="1"/>
    </xf>
    <xf numFmtId="0" fontId="72" fillId="7" borderId="23" xfId="3" applyFont="1" applyFill="1" applyBorder="1" applyAlignment="1">
      <alignment horizontal="center" vertical="center" wrapText="1"/>
    </xf>
    <xf numFmtId="165" fontId="72" fillId="7" borderId="23" xfId="3" applyNumberFormat="1" applyFont="1" applyFill="1" applyBorder="1" applyAlignment="1">
      <alignment horizontal="center" vertical="center" wrapText="1"/>
    </xf>
    <xf numFmtId="20" fontId="72" fillId="7" borderId="23" xfId="3" applyNumberFormat="1" applyFont="1" applyFill="1" applyBorder="1" applyAlignment="1">
      <alignment horizontal="center" vertical="center" wrapText="1"/>
    </xf>
    <xf numFmtId="167"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xf numFmtId="49" fontId="72" fillId="7" borderId="23" xfId="3" applyNumberFormat="1" applyFont="1" applyFill="1" applyBorder="1" applyAlignment="1">
      <alignment horizontal="center" vertical="center" wrapText="1"/>
    </xf>
    <xf numFmtId="0" fontId="72" fillId="7" borderId="10" xfId="3" applyFont="1" applyFill="1" applyBorder="1" applyAlignment="1">
      <alignment horizontal="center" vertical="center" wrapText="1"/>
    </xf>
    <xf numFmtId="0" fontId="72" fillId="7" borderId="26" xfId="3" applyFont="1" applyFill="1" applyBorder="1" applyAlignment="1">
      <alignment horizontal="center" vertical="center" wrapText="1"/>
    </xf>
  </cellXfs>
  <cellStyles count="151">
    <cellStyle name="20% - Accent1" xfId="113" builtinId="30" customBuiltin="1"/>
    <cellStyle name="20% - Accent1 2" xfId="8" xr:uid="{00000000-0005-0000-0000-000001000000}"/>
    <cellStyle name="20% - Accent2" xfId="116" builtinId="34" customBuiltin="1"/>
    <cellStyle name="20% - Accent2 2" xfId="9" xr:uid="{00000000-0005-0000-0000-000003000000}"/>
    <cellStyle name="20% - Accent3" xfId="119" builtinId="38" customBuiltin="1"/>
    <cellStyle name="20% - Accent3 2" xfId="10" xr:uid="{00000000-0005-0000-0000-000005000000}"/>
    <cellStyle name="20% - Accent4" xfId="122" builtinId="42" customBuiltin="1"/>
    <cellStyle name="20% - Accent4 2" xfId="11" xr:uid="{00000000-0005-0000-0000-000007000000}"/>
    <cellStyle name="20% - Accent5" xfId="125" builtinId="46" customBuiltin="1"/>
    <cellStyle name="20% - Accent5 2" xfId="12" xr:uid="{00000000-0005-0000-0000-000009000000}"/>
    <cellStyle name="20% - Accent6" xfId="128" builtinId="50" customBuiltin="1"/>
    <cellStyle name="20% - Accent6 2" xfId="13" xr:uid="{00000000-0005-0000-0000-00000B000000}"/>
    <cellStyle name="40% - Accent1" xfId="114" builtinId="31" customBuiltin="1"/>
    <cellStyle name="40% - Accent1 2" xfId="14" xr:uid="{00000000-0005-0000-0000-00000D000000}"/>
    <cellStyle name="40% - Accent2" xfId="117" builtinId="35" customBuiltin="1"/>
    <cellStyle name="40% - Accent2 2" xfId="15" xr:uid="{00000000-0005-0000-0000-00000F000000}"/>
    <cellStyle name="40% - Accent3" xfId="120" builtinId="39" customBuiltin="1"/>
    <cellStyle name="40% - Accent3 2" xfId="16" xr:uid="{00000000-0005-0000-0000-000011000000}"/>
    <cellStyle name="40% - Accent4" xfId="123" builtinId="43" customBuiltin="1"/>
    <cellStyle name="40% - Accent4 2" xfId="17" xr:uid="{00000000-0005-0000-0000-000013000000}"/>
    <cellStyle name="40% - Accent5" xfId="126" builtinId="47" customBuiltin="1"/>
    <cellStyle name="40% - Accent5 2" xfId="18" xr:uid="{00000000-0005-0000-0000-000015000000}"/>
    <cellStyle name="40% - Accent6" xfId="129" builtinId="51" customBuiltin="1"/>
    <cellStyle name="40% - Accent6 2" xfId="19" xr:uid="{00000000-0005-0000-0000-000017000000}"/>
    <cellStyle name="60% - Accent1" xfId="143" builtinId="32" customBuiltin="1"/>
    <cellStyle name="60% - Accent1 2" xfId="20" xr:uid="{00000000-0005-0000-0000-000018000000}"/>
    <cellStyle name="60% - Accent1 3" xfId="131" xr:uid="{00000000-0005-0000-0000-000019000000}"/>
    <cellStyle name="60% - Accent2" xfId="144" builtinId="36" customBuiltin="1"/>
    <cellStyle name="60% - Accent2 2" xfId="21" xr:uid="{00000000-0005-0000-0000-00001A000000}"/>
    <cellStyle name="60% - Accent2 3" xfId="132" xr:uid="{00000000-0005-0000-0000-00001B000000}"/>
    <cellStyle name="60% - Accent3" xfId="145" builtinId="40" customBuiltin="1"/>
    <cellStyle name="60% - Accent3 2" xfId="22" xr:uid="{00000000-0005-0000-0000-00001C000000}"/>
    <cellStyle name="60% - Accent3 3" xfId="133" xr:uid="{00000000-0005-0000-0000-00001D000000}"/>
    <cellStyle name="60% - Accent4" xfId="146" builtinId="44" customBuiltin="1"/>
    <cellStyle name="60% - Accent4 2" xfId="23" xr:uid="{00000000-0005-0000-0000-00001E000000}"/>
    <cellStyle name="60% - Accent4 3" xfId="134" xr:uid="{00000000-0005-0000-0000-00001F000000}"/>
    <cellStyle name="60% - Accent5" xfId="147" builtinId="48" customBuiltin="1"/>
    <cellStyle name="60% - Accent5 2" xfId="24" xr:uid="{00000000-0005-0000-0000-000020000000}"/>
    <cellStyle name="60% - Accent5 3" xfId="135" xr:uid="{00000000-0005-0000-0000-000021000000}"/>
    <cellStyle name="60% - Accent6" xfId="148" builtinId="52" customBuiltin="1"/>
    <cellStyle name="60% - Accent6 2" xfId="25" xr:uid="{00000000-0005-0000-0000-000022000000}"/>
    <cellStyle name="60% - Accent6 3" xfId="136" xr:uid="{00000000-0005-0000-0000-000023000000}"/>
    <cellStyle name="Accent1" xfId="112" builtinId="29" customBuiltin="1"/>
    <cellStyle name="Accent1 2" xfId="26" xr:uid="{00000000-0005-0000-0000-000025000000}"/>
    <cellStyle name="Accent2" xfId="115" builtinId="33" customBuiltin="1"/>
    <cellStyle name="Accent2 2" xfId="27" xr:uid="{00000000-0005-0000-0000-000027000000}"/>
    <cellStyle name="Accent3" xfId="118" builtinId="37" customBuiltin="1"/>
    <cellStyle name="Accent3 2" xfId="28" xr:uid="{00000000-0005-0000-0000-000029000000}"/>
    <cellStyle name="Accent4" xfId="121" builtinId="41" customBuiltin="1"/>
    <cellStyle name="Accent4 2" xfId="29" xr:uid="{00000000-0005-0000-0000-00002B000000}"/>
    <cellStyle name="Accent5" xfId="124" builtinId="45" customBuiltin="1"/>
    <cellStyle name="Accent5 2" xfId="30" xr:uid="{00000000-0005-0000-0000-00002D000000}"/>
    <cellStyle name="Accent6" xfId="127" builtinId="49" customBuiltin="1"/>
    <cellStyle name="Accent6 2" xfId="31" xr:uid="{00000000-0005-0000-0000-00002F000000}"/>
    <cellStyle name="Bad" xfId="102" builtinId="27" customBuiltin="1"/>
    <cellStyle name="Bad 2" xfId="32" xr:uid="{00000000-0005-0000-0000-000031000000}"/>
    <cellStyle name="Calculation" xfId="105" builtinId="22" customBuiltin="1"/>
    <cellStyle name="Calculation 2" xfId="33" xr:uid="{00000000-0005-0000-0000-000033000000}"/>
    <cellStyle name="Check Cell" xfId="107" builtinId="23" customBuiltin="1"/>
    <cellStyle name="Check Cell 2" xfId="34" xr:uid="{00000000-0005-0000-0000-000035000000}"/>
    <cellStyle name="Comma" xfId="1" builtinId="3"/>
    <cellStyle name="Comma [0] 2" xfId="137" xr:uid="{00000000-0005-0000-0000-000037000000}"/>
    <cellStyle name="Comma [0] 3 3" xfId="141" xr:uid="{00000000-0005-0000-0000-000038000000}"/>
    <cellStyle name="Comma 2" xfId="139" xr:uid="{00000000-0005-0000-0000-000039000000}"/>
    <cellStyle name="Comma 3" xfId="150" xr:uid="{9FF45991-3D1F-4887-AF1D-A0D1E34C8275}"/>
    <cellStyle name="Comma 36" xfId="92" xr:uid="{00000000-0005-0000-0000-00003A000000}"/>
    <cellStyle name="Comma 42" xfId="138" xr:uid="{00000000-0005-0000-0000-00003B000000}"/>
    <cellStyle name="Comma 43" xfId="91" xr:uid="{00000000-0005-0000-0000-00003C000000}"/>
    <cellStyle name="Explanatory Text" xfId="110" builtinId="53" customBuiltin="1"/>
    <cellStyle name="Explanatory Text 2" xfId="35" xr:uid="{00000000-0005-0000-0000-00003E000000}"/>
    <cellStyle name="Good" xfId="101" builtinId="26" customBuiltin="1"/>
    <cellStyle name="Good 2" xfId="36" xr:uid="{00000000-0005-0000-0000-000040000000}"/>
    <cellStyle name="Heading 1" xfId="97" builtinId="16" customBuiltin="1"/>
    <cellStyle name="Heading 1 2" xfId="37" xr:uid="{00000000-0005-0000-0000-000042000000}"/>
    <cellStyle name="Heading 2" xfId="98" builtinId="17" customBuiltin="1"/>
    <cellStyle name="Heading 2 2" xfId="38" xr:uid="{00000000-0005-0000-0000-000044000000}"/>
    <cellStyle name="Heading 3" xfId="99" builtinId="18" customBuiltin="1"/>
    <cellStyle name="Heading 3 2" xfId="39" xr:uid="{00000000-0005-0000-0000-000046000000}"/>
    <cellStyle name="Heading 4" xfId="100" builtinId="19" customBuiltin="1"/>
    <cellStyle name="Heading 4 2" xfId="40" xr:uid="{00000000-0005-0000-0000-000048000000}"/>
    <cellStyle name="Input" xfId="103" builtinId="20" customBuiltin="1"/>
    <cellStyle name="Input 2" xfId="41" xr:uid="{00000000-0005-0000-0000-00004A000000}"/>
    <cellStyle name="Linked Cell" xfId="106" builtinId="24" customBuiltin="1"/>
    <cellStyle name="Linked Cell 2" xfId="42" xr:uid="{00000000-0005-0000-0000-00004C000000}"/>
    <cellStyle name="Neutral" xfId="142" builtinId="28" customBuiltin="1"/>
    <cellStyle name="Neutral 2" xfId="43" xr:uid="{00000000-0005-0000-0000-00004D000000}"/>
    <cellStyle name="Neutral 3" xfId="130" xr:uid="{00000000-0005-0000-0000-00004E000000}"/>
    <cellStyle name="Normal" xfId="0" builtinId="0"/>
    <cellStyle name="Normal 10" xfId="44" xr:uid="{00000000-0005-0000-0000-000050000000}"/>
    <cellStyle name="Normal 11" xfId="45" xr:uid="{00000000-0005-0000-0000-000051000000}"/>
    <cellStyle name="Normal 12" xfId="6" xr:uid="{00000000-0005-0000-0000-000052000000}"/>
    <cellStyle name="Normal 13" xfId="90" xr:uid="{00000000-0005-0000-0000-000053000000}"/>
    <cellStyle name="Normal 16" xfId="46" xr:uid="{00000000-0005-0000-0000-000054000000}"/>
    <cellStyle name="Normal 18" xfId="47" xr:uid="{00000000-0005-0000-0000-000055000000}"/>
    <cellStyle name="Normal 19" xfId="48" xr:uid="{00000000-0005-0000-0000-000056000000}"/>
    <cellStyle name="Normal 2" xfId="4" xr:uid="{00000000-0005-0000-0000-000057000000}"/>
    <cellStyle name="Normal 2 2" xfId="5" xr:uid="{00000000-0005-0000-0000-000058000000}"/>
    <cellStyle name="Normal 2 2 2" xfId="3" xr:uid="{00000000-0005-0000-0000-000059000000}"/>
    <cellStyle name="Normal 2 2 2 2" xfId="140" xr:uid="{00000000-0005-0000-0000-00005A000000}"/>
    <cellStyle name="Normal 2 2 3" xfId="49" xr:uid="{00000000-0005-0000-0000-00005B000000}"/>
    <cellStyle name="Normal 2 3" xfId="50" xr:uid="{00000000-0005-0000-0000-00005C000000}"/>
    <cellStyle name="Normal 2 4" xfId="51" xr:uid="{00000000-0005-0000-0000-00005D000000}"/>
    <cellStyle name="Normal 2 5" xfId="52" xr:uid="{00000000-0005-0000-0000-00005E000000}"/>
    <cellStyle name="Normal 2 6" xfId="7" xr:uid="{00000000-0005-0000-0000-00005F000000}"/>
    <cellStyle name="Normal 2 7" xfId="149" xr:uid="{4CC6F398-C009-466F-A085-134EC23C0AAD}"/>
    <cellStyle name="Normal 20" xfId="53" xr:uid="{00000000-0005-0000-0000-000060000000}"/>
    <cellStyle name="Normal 21" xfId="54" xr:uid="{00000000-0005-0000-0000-000061000000}"/>
    <cellStyle name="Normal 22" xfId="55" xr:uid="{00000000-0005-0000-0000-000062000000}"/>
    <cellStyle name="Normal 23" xfId="56" xr:uid="{00000000-0005-0000-0000-000063000000}"/>
    <cellStyle name="Normal 24" xfId="57" xr:uid="{00000000-0005-0000-0000-000064000000}"/>
    <cellStyle name="Normal 25" xfId="58" xr:uid="{00000000-0005-0000-0000-000065000000}"/>
    <cellStyle name="Normal 26" xfId="59" xr:uid="{00000000-0005-0000-0000-000066000000}"/>
    <cellStyle name="Normal 27" xfId="60" xr:uid="{00000000-0005-0000-0000-000067000000}"/>
    <cellStyle name="Normal 28" xfId="61" xr:uid="{00000000-0005-0000-0000-000068000000}"/>
    <cellStyle name="Normal 29" xfId="62" xr:uid="{00000000-0005-0000-0000-000069000000}"/>
    <cellStyle name="Normal 3" xfId="63" xr:uid="{00000000-0005-0000-0000-00006A000000}"/>
    <cellStyle name="Normal 3 2" xfId="93" xr:uid="{00000000-0005-0000-0000-00006B000000}"/>
    <cellStyle name="Normal 30" xfId="64" xr:uid="{00000000-0005-0000-0000-00006C000000}"/>
    <cellStyle name="Normal 31" xfId="65" xr:uid="{00000000-0005-0000-0000-00006D000000}"/>
    <cellStyle name="Normal 32" xfId="66" xr:uid="{00000000-0005-0000-0000-00006E000000}"/>
    <cellStyle name="Normal 33" xfId="67" xr:uid="{00000000-0005-0000-0000-00006F000000}"/>
    <cellStyle name="Normal 35" xfId="68" xr:uid="{00000000-0005-0000-0000-000070000000}"/>
    <cellStyle name="Normal 36" xfId="69" xr:uid="{00000000-0005-0000-0000-000071000000}"/>
    <cellStyle name="Normal 37" xfId="70" xr:uid="{00000000-0005-0000-0000-000072000000}"/>
    <cellStyle name="Normal 38" xfId="71" xr:uid="{00000000-0005-0000-0000-000073000000}"/>
    <cellStyle name="Normal 39" xfId="72" xr:uid="{00000000-0005-0000-0000-000074000000}"/>
    <cellStyle name="Normal 4" xfId="73" xr:uid="{00000000-0005-0000-0000-000075000000}"/>
    <cellStyle name="Normal 4 2" xfId="94" xr:uid="{00000000-0005-0000-0000-000076000000}"/>
    <cellStyle name="Normal 40" xfId="74" xr:uid="{00000000-0005-0000-0000-000077000000}"/>
    <cellStyle name="Normal 41" xfId="75" xr:uid="{00000000-0005-0000-0000-000078000000}"/>
    <cellStyle name="Normal 42" xfId="76" xr:uid="{00000000-0005-0000-0000-000079000000}"/>
    <cellStyle name="Normal 43" xfId="77" xr:uid="{00000000-0005-0000-0000-00007A000000}"/>
    <cellStyle name="Normal 44" xfId="78" xr:uid="{00000000-0005-0000-0000-00007B000000}"/>
    <cellStyle name="Normal 45" xfId="79" xr:uid="{00000000-0005-0000-0000-00007C000000}"/>
    <cellStyle name="Normal 5" xfId="80" xr:uid="{00000000-0005-0000-0000-00007D000000}"/>
    <cellStyle name="Normal 5 2" xfId="95" xr:uid="{00000000-0005-0000-0000-00007E000000}"/>
    <cellStyle name="Normal 6" xfId="81" xr:uid="{00000000-0005-0000-0000-00007F000000}"/>
    <cellStyle name="Normal 7" xfId="82" xr:uid="{00000000-0005-0000-0000-000080000000}"/>
    <cellStyle name="Normal 8" xfId="83" xr:uid="{00000000-0005-0000-0000-000081000000}"/>
    <cellStyle name="Normal 9" xfId="84" xr:uid="{00000000-0005-0000-0000-000082000000}"/>
    <cellStyle name="Note" xfId="109" builtinId="10" customBuiltin="1"/>
    <cellStyle name="Note 2" xfId="85" xr:uid="{00000000-0005-0000-0000-000084000000}"/>
    <cellStyle name="Output" xfId="104" builtinId="21" customBuiltin="1"/>
    <cellStyle name="Output 2" xfId="86" xr:uid="{00000000-0005-0000-0000-000086000000}"/>
    <cellStyle name="Percent" xfId="2" builtinId="5"/>
    <cellStyle name="Title" xfId="96" builtinId="15" customBuiltin="1"/>
    <cellStyle name="Title 2" xfId="87" xr:uid="{00000000-0005-0000-0000-000089000000}"/>
    <cellStyle name="Total" xfId="111" builtinId="25" customBuiltin="1"/>
    <cellStyle name="Total 2" xfId="88" xr:uid="{00000000-0005-0000-0000-00008B000000}"/>
    <cellStyle name="Warning Text" xfId="108" builtinId="11" customBuiltin="1"/>
    <cellStyle name="Warning Text 2" xfId="89" xr:uid="{00000000-0005-0000-0000-00008D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FF"/>
      <color rgb="FF0000CC"/>
      <color rgb="FFFFE699"/>
      <color rgb="FFFF00FF"/>
      <color rgb="FFFFCC99"/>
      <color rgb="FF00FFFF"/>
      <color rgb="FFFFFF99"/>
      <color rgb="FFFF7C80"/>
      <color rgb="FFFF99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296575</xdr:colOff>
      <xdr:row>0</xdr:row>
      <xdr:rowOff>42333</xdr:rowOff>
    </xdr:from>
    <xdr:to>
      <xdr:col>7</xdr:col>
      <xdr:colOff>107156</xdr:colOff>
      <xdr:row>0</xdr:row>
      <xdr:rowOff>668540</xdr:rowOff>
    </xdr:to>
    <xdr:pic>
      <xdr:nvPicPr>
        <xdr:cNvPr id="3" name="Picture 7"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1325" y="42333"/>
          <a:ext cx="847748" cy="626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2117725</xdr:colOff>
      <xdr:row>0</xdr:row>
      <xdr:rowOff>0</xdr:rowOff>
    </xdr:from>
    <xdr:to>
      <xdr:col>9</xdr:col>
      <xdr:colOff>1422400</xdr:colOff>
      <xdr:row>1</xdr:row>
      <xdr:rowOff>95250</xdr:rowOff>
    </xdr:to>
    <xdr:pic>
      <xdr:nvPicPr>
        <xdr:cNvPr id="3" name="Picture 7" descr="logo">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643975" y="0"/>
          <a:ext cx="1717675"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xdr:col>
      <xdr:colOff>530500</xdr:colOff>
      <xdr:row>1</xdr:row>
      <xdr:rowOff>38100</xdr:rowOff>
    </xdr:from>
    <xdr:to>
      <xdr:col>6</xdr:col>
      <xdr:colOff>171450</xdr:colOff>
      <xdr:row>2</xdr:row>
      <xdr:rowOff>57151</xdr:rowOff>
    </xdr:to>
    <xdr:pic>
      <xdr:nvPicPr>
        <xdr:cNvPr id="2" name="Picture 7" descr="logo">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12750" y="38100"/>
          <a:ext cx="1088750" cy="895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285750</xdr:colOff>
      <xdr:row>0</xdr:row>
      <xdr:rowOff>158750</xdr:rowOff>
    </xdr:from>
    <xdr:to>
      <xdr:col>15</xdr:col>
      <xdr:colOff>61237</xdr:colOff>
      <xdr:row>0</xdr:row>
      <xdr:rowOff>961571</xdr:rowOff>
    </xdr:to>
    <xdr:pic>
      <xdr:nvPicPr>
        <xdr:cNvPr id="2" name="Picture 7"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31375" y="158750"/>
          <a:ext cx="1108987"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975175</xdr:colOff>
      <xdr:row>0</xdr:row>
      <xdr:rowOff>498929</xdr:rowOff>
    </xdr:from>
    <xdr:to>
      <xdr:col>8</xdr:col>
      <xdr:colOff>809626</xdr:colOff>
      <xdr:row>0</xdr:row>
      <xdr:rowOff>1274536</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9550" y="498929"/>
          <a:ext cx="1088576" cy="775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35CCCAAE\TOTAL%20OUTSTANDING%20PAYMENT%20(Ogos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Salasiah\Desktop\EO%202\SEPTEMBER\BPA\EO\Deduction\NONIE%20BAGI\SK%20Pendrive\nana\PERFORMANCE%20REPORT\BPA\2011\repot%20team%202010\DATABASE%20MASTER\dak%20man\OUTSTANDING%20PAYMENT\TOTAL%20OUTSTANDING%20PAYMENT%20(Ogos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02DAD46E\TOTAL%20OUTSTANDING%20PAYMENT%20(Ogos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C1\Users\CC%20copy's\Simulation%20on%20Taiping\DAR_HWMS%20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HOLIDAY"/>
    </sheetNames>
    <sheetDataSet>
      <sheetData sheetId="0"/>
      <sheetData sheetId="1"/>
      <sheetData sheetId="2"/>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row r="3">
          <cell r="A3">
            <v>43831</v>
          </cell>
        </row>
        <row r="4">
          <cell r="A4">
            <v>0</v>
          </cell>
        </row>
        <row r="5">
          <cell r="A5">
            <v>43855</v>
          </cell>
        </row>
        <row r="6">
          <cell r="A6">
            <v>0</v>
          </cell>
        </row>
        <row r="7">
          <cell r="A7">
            <v>43856</v>
          </cell>
        </row>
        <row r="8">
          <cell r="A8">
            <v>0</v>
          </cell>
        </row>
        <row r="9">
          <cell r="A9">
            <v>43857</v>
          </cell>
        </row>
        <row r="10">
          <cell r="A10">
            <v>0</v>
          </cell>
        </row>
        <row r="11">
          <cell r="A11">
            <v>43862</v>
          </cell>
        </row>
        <row r="12">
          <cell r="A12">
            <v>0</v>
          </cell>
        </row>
        <row r="13">
          <cell r="A13">
            <v>43869</v>
          </cell>
        </row>
        <row r="14">
          <cell r="A14">
            <v>0</v>
          </cell>
        </row>
        <row r="15">
          <cell r="A15">
            <v>43952</v>
          </cell>
        </row>
        <row r="16">
          <cell r="A16">
            <v>0</v>
          </cell>
        </row>
        <row r="17">
          <cell r="A17">
            <v>43958</v>
          </cell>
        </row>
        <row r="18">
          <cell r="A18">
            <v>0</v>
          </cell>
        </row>
        <row r="19">
          <cell r="A19">
            <v>43961</v>
          </cell>
        </row>
        <row r="20">
          <cell r="A20">
            <v>0</v>
          </cell>
        </row>
        <row r="21">
          <cell r="A21">
            <v>43962</v>
          </cell>
        </row>
        <row r="22">
          <cell r="A22">
            <v>0</v>
          </cell>
        </row>
        <row r="23">
          <cell r="A23">
            <v>43975</v>
          </cell>
        </row>
        <row r="24">
          <cell r="A24">
            <v>0</v>
          </cell>
        </row>
        <row r="25">
          <cell r="A25">
            <v>43976</v>
          </cell>
        </row>
        <row r="26">
          <cell r="A26">
            <v>0</v>
          </cell>
        </row>
        <row r="27">
          <cell r="A27">
            <v>43977</v>
          </cell>
        </row>
        <row r="28">
          <cell r="A28">
            <v>0</v>
          </cell>
        </row>
        <row r="29">
          <cell r="A29">
            <v>43990</v>
          </cell>
        </row>
        <row r="30">
          <cell r="A30">
            <v>0</v>
          </cell>
        </row>
        <row r="31">
          <cell r="A31">
            <v>44043</v>
          </cell>
        </row>
        <row r="32">
          <cell r="A32">
            <v>0</v>
          </cell>
        </row>
        <row r="33">
          <cell r="A33">
            <v>44063</v>
          </cell>
        </row>
        <row r="34">
          <cell r="A34">
            <v>0</v>
          </cell>
        </row>
        <row r="35">
          <cell r="A35">
            <v>44074</v>
          </cell>
        </row>
        <row r="36">
          <cell r="A36">
            <v>0</v>
          </cell>
        </row>
        <row r="37">
          <cell r="A37">
            <v>44090</v>
          </cell>
        </row>
        <row r="38">
          <cell r="A38">
            <v>0</v>
          </cell>
        </row>
        <row r="39">
          <cell r="A39">
            <v>44133</v>
          </cell>
        </row>
        <row r="40">
          <cell r="A40">
            <v>0</v>
          </cell>
        </row>
        <row r="41">
          <cell r="A41">
            <v>44149</v>
          </cell>
        </row>
        <row r="42">
          <cell r="A42">
            <v>0</v>
          </cell>
        </row>
        <row r="43">
          <cell r="A43">
            <v>44190</v>
          </cell>
        </row>
        <row r="44">
          <cell r="A44">
            <v>0</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MS 1"/>
      <sheetName val="HWMS 2"/>
    </sheetNames>
    <sheetDataSet>
      <sheetData sheetId="0">
        <row r="2">
          <cell r="D2">
            <v>1000000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D56"/>
  <sheetViews>
    <sheetView topLeftCell="A3" workbookViewId="0">
      <selection activeCell="D20" sqref="D20"/>
    </sheetView>
  </sheetViews>
  <sheetFormatPr defaultColWidth="9.5703125" defaultRowHeight="12.75" x14ac:dyDescent="0.2"/>
  <cols>
    <col min="1" max="1" width="17.5703125" style="401" customWidth="1"/>
    <col min="2" max="2" width="8.7109375" style="56" customWidth="1"/>
    <col min="3" max="3" width="51" style="56" bestFit="1" customWidth="1"/>
    <col min="4" max="4" width="33.28515625" style="56" bestFit="1" customWidth="1"/>
    <col min="5" max="16384" width="9.5703125" style="56"/>
  </cols>
  <sheetData>
    <row r="1" spans="1:4" x14ac:dyDescent="0.2">
      <c r="A1" s="401" t="s">
        <v>135</v>
      </c>
    </row>
    <row r="2" spans="1:4" x14ac:dyDescent="0.2">
      <c r="A2" s="59" t="s">
        <v>136</v>
      </c>
      <c r="B2" s="57" t="s">
        <v>137</v>
      </c>
      <c r="C2" s="57" t="s">
        <v>167</v>
      </c>
      <c r="D2" s="57" t="s">
        <v>168</v>
      </c>
    </row>
    <row r="3" spans="1:4" x14ac:dyDescent="0.2">
      <c r="A3" s="59">
        <v>46023</v>
      </c>
      <c r="B3" s="57" t="s">
        <v>344</v>
      </c>
      <c r="C3" s="57" t="s">
        <v>169</v>
      </c>
      <c r="D3" s="57" t="s">
        <v>341</v>
      </c>
    </row>
    <row r="4" spans="1:4" x14ac:dyDescent="0.2">
      <c r="A4" s="59"/>
      <c r="B4" s="57"/>
      <c r="C4" s="57"/>
      <c r="D4" s="57"/>
    </row>
    <row r="5" spans="1:4" x14ac:dyDescent="0.2">
      <c r="A5" s="59">
        <v>46070</v>
      </c>
      <c r="B5" s="57" t="s">
        <v>347</v>
      </c>
      <c r="C5" s="57" t="s">
        <v>138</v>
      </c>
      <c r="D5" s="57" t="s">
        <v>341</v>
      </c>
    </row>
    <row r="6" spans="1:4" x14ac:dyDescent="0.2">
      <c r="A6" s="59"/>
      <c r="B6" s="57"/>
      <c r="C6" s="57"/>
      <c r="D6" s="57"/>
    </row>
    <row r="7" spans="1:4" x14ac:dyDescent="0.2">
      <c r="A7" s="59">
        <v>46071</v>
      </c>
      <c r="B7" s="57" t="s">
        <v>312</v>
      </c>
      <c r="C7" s="57" t="s">
        <v>315</v>
      </c>
      <c r="D7" s="57" t="s">
        <v>341</v>
      </c>
    </row>
    <row r="8" spans="1:4" x14ac:dyDescent="0.2">
      <c r="A8" s="59"/>
      <c r="B8" s="57"/>
      <c r="C8" s="57"/>
      <c r="D8" s="57"/>
    </row>
    <row r="9" spans="1:4" x14ac:dyDescent="0.2">
      <c r="A9" s="59">
        <v>46055</v>
      </c>
      <c r="B9" s="57" t="s">
        <v>340</v>
      </c>
      <c r="C9" s="57" t="s">
        <v>316</v>
      </c>
      <c r="D9" s="57" t="s">
        <v>341</v>
      </c>
    </row>
    <row r="10" spans="1:4" x14ac:dyDescent="0.2">
      <c r="A10" s="59"/>
      <c r="B10" s="57"/>
      <c r="C10" s="57"/>
      <c r="D10" s="57"/>
    </row>
    <row r="11" spans="1:4" x14ac:dyDescent="0.2">
      <c r="A11" s="59">
        <v>46088</v>
      </c>
      <c r="B11" s="57" t="s">
        <v>313</v>
      </c>
      <c r="C11" s="57" t="s">
        <v>317</v>
      </c>
      <c r="D11" s="57" t="s">
        <v>341</v>
      </c>
    </row>
    <row r="12" spans="1:4" x14ac:dyDescent="0.2">
      <c r="A12" s="59"/>
      <c r="B12" s="57"/>
      <c r="C12" s="57"/>
      <c r="D12" s="57"/>
    </row>
    <row r="13" spans="1:4" x14ac:dyDescent="0.2">
      <c r="A13" s="59">
        <v>46101</v>
      </c>
      <c r="B13" s="57" t="s">
        <v>348</v>
      </c>
      <c r="C13" s="57" t="s">
        <v>406</v>
      </c>
      <c r="D13" s="57" t="s">
        <v>341</v>
      </c>
    </row>
    <row r="14" spans="1:4" x14ac:dyDescent="0.2">
      <c r="A14" s="59"/>
      <c r="B14" s="57"/>
      <c r="C14" s="57"/>
      <c r="D14" s="57"/>
    </row>
    <row r="15" spans="1:4" x14ac:dyDescent="0.2">
      <c r="A15" s="59">
        <v>46102</v>
      </c>
      <c r="B15" s="57" t="s">
        <v>313</v>
      </c>
      <c r="C15" s="57" t="s">
        <v>320</v>
      </c>
      <c r="D15" s="57" t="s">
        <v>341</v>
      </c>
    </row>
    <row r="16" spans="1:4" x14ac:dyDescent="0.2">
      <c r="A16" s="59"/>
      <c r="B16" s="57"/>
      <c r="C16" s="57"/>
      <c r="D16" s="57"/>
    </row>
    <row r="17" spans="1:4" x14ac:dyDescent="0.2">
      <c r="A17" s="59">
        <v>46103</v>
      </c>
      <c r="B17" s="57" t="s">
        <v>340</v>
      </c>
      <c r="C17" s="57" t="s">
        <v>318</v>
      </c>
      <c r="D17" s="57" t="s">
        <v>341</v>
      </c>
    </row>
    <row r="18" spans="1:4" x14ac:dyDescent="0.2">
      <c r="A18" s="59"/>
      <c r="B18" s="57"/>
      <c r="C18" s="57"/>
      <c r="D18" s="57"/>
    </row>
    <row r="19" spans="1:4" x14ac:dyDescent="0.2">
      <c r="A19" s="59">
        <v>46104</v>
      </c>
      <c r="B19" s="57" t="s">
        <v>314</v>
      </c>
      <c r="C19" s="57" t="s">
        <v>406</v>
      </c>
      <c r="D19" s="57" t="s">
        <v>341</v>
      </c>
    </row>
    <row r="20" spans="1:4" x14ac:dyDescent="0.2">
      <c r="A20" s="59"/>
      <c r="B20" s="57"/>
      <c r="C20" s="57"/>
      <c r="D20" s="57"/>
    </row>
    <row r="21" spans="1:4" x14ac:dyDescent="0.2">
      <c r="A21" s="59">
        <v>45778</v>
      </c>
      <c r="B21" s="57" t="s">
        <v>344</v>
      </c>
      <c r="C21" s="57" t="s">
        <v>139</v>
      </c>
      <c r="D21" s="57" t="s">
        <v>341</v>
      </c>
    </row>
    <row r="22" spans="1:4" x14ac:dyDescent="0.2">
      <c r="A22" s="59"/>
      <c r="B22" s="57"/>
      <c r="C22" s="57"/>
      <c r="D22" s="57"/>
    </row>
    <row r="23" spans="1:4" x14ac:dyDescent="0.2">
      <c r="A23" s="59">
        <v>46169</v>
      </c>
      <c r="B23" s="57" t="s">
        <v>312</v>
      </c>
      <c r="C23" s="57" t="s">
        <v>356</v>
      </c>
      <c r="D23" s="57" t="s">
        <v>341</v>
      </c>
    </row>
    <row r="24" spans="1:4" x14ac:dyDescent="0.2">
      <c r="A24" s="59"/>
      <c r="B24" s="57"/>
      <c r="C24" s="57"/>
      <c r="D24" s="57"/>
    </row>
    <row r="25" spans="1:4" x14ac:dyDescent="0.2">
      <c r="A25" s="59">
        <v>46173</v>
      </c>
      <c r="B25" s="57" t="s">
        <v>340</v>
      </c>
      <c r="C25" s="57" t="s">
        <v>140</v>
      </c>
      <c r="D25" s="57" t="s">
        <v>341</v>
      </c>
    </row>
    <row r="26" spans="1:4" x14ac:dyDescent="0.2">
      <c r="A26" s="59"/>
      <c r="B26" s="57"/>
      <c r="C26" s="57"/>
      <c r="D26" s="57"/>
    </row>
    <row r="27" spans="1:4" x14ac:dyDescent="0.2">
      <c r="A27" s="59">
        <v>46174</v>
      </c>
      <c r="B27" s="57" t="s">
        <v>314</v>
      </c>
      <c r="C27" s="57" t="s">
        <v>357</v>
      </c>
      <c r="D27" s="57" t="s">
        <v>341</v>
      </c>
    </row>
    <row r="28" spans="1:4" x14ac:dyDescent="0.2">
      <c r="A28" s="59"/>
      <c r="B28" s="57"/>
      <c r="C28" s="57"/>
      <c r="D28" s="57"/>
    </row>
    <row r="29" spans="1:4" x14ac:dyDescent="0.2">
      <c r="A29" s="59">
        <v>46175</v>
      </c>
      <c r="B29" s="57" t="s">
        <v>347</v>
      </c>
      <c r="C29" s="57" t="s">
        <v>358</v>
      </c>
      <c r="D29" s="57" t="s">
        <v>341</v>
      </c>
    </row>
    <row r="30" spans="1:4" x14ac:dyDescent="0.2">
      <c r="A30" s="59"/>
      <c r="B30" s="57"/>
      <c r="C30" s="57"/>
      <c r="D30" s="57"/>
    </row>
    <row r="31" spans="1:4" x14ac:dyDescent="0.2">
      <c r="A31" s="59">
        <v>46174</v>
      </c>
      <c r="B31" s="57" t="s">
        <v>314</v>
      </c>
      <c r="C31" s="57" t="s">
        <v>357</v>
      </c>
      <c r="D31" s="57" t="s">
        <v>341</v>
      </c>
    </row>
    <row r="32" spans="1:4" x14ac:dyDescent="0.2">
      <c r="A32" s="59"/>
      <c r="B32" s="57"/>
      <c r="C32" s="57"/>
      <c r="D32" s="57"/>
    </row>
    <row r="33" spans="1:4" x14ac:dyDescent="0.2">
      <c r="A33" s="59">
        <v>46175</v>
      </c>
      <c r="B33" s="57" t="s">
        <v>347</v>
      </c>
      <c r="C33" s="57" t="s">
        <v>358</v>
      </c>
      <c r="D33" s="57" t="s">
        <v>341</v>
      </c>
    </row>
    <row r="34" spans="1:4" x14ac:dyDescent="0.2">
      <c r="A34" s="59"/>
      <c r="B34" s="57"/>
      <c r="C34" s="57"/>
      <c r="D34" s="57"/>
    </row>
    <row r="35" spans="1:4" x14ac:dyDescent="0.2">
      <c r="A35" s="59">
        <v>46190</v>
      </c>
      <c r="B35" s="57" t="s">
        <v>312</v>
      </c>
      <c r="C35" s="57" t="s">
        <v>359</v>
      </c>
      <c r="D35" s="57" t="s">
        <v>341</v>
      </c>
    </row>
    <row r="36" spans="1:4" x14ac:dyDescent="0.2">
      <c r="A36" s="59"/>
      <c r="B36" s="57"/>
      <c r="C36" s="57"/>
      <c r="D36" s="57"/>
    </row>
    <row r="37" spans="1:4" x14ac:dyDescent="0.2">
      <c r="A37" s="59">
        <v>46259</v>
      </c>
      <c r="B37" s="57" t="s">
        <v>347</v>
      </c>
      <c r="C37" s="57" t="s">
        <v>360</v>
      </c>
      <c r="D37" s="57" t="s">
        <v>341</v>
      </c>
    </row>
    <row r="38" spans="1:4" x14ac:dyDescent="0.2">
      <c r="A38" s="59"/>
      <c r="B38" s="57"/>
      <c r="C38" s="57"/>
      <c r="D38" s="57"/>
    </row>
    <row r="39" spans="1:4" x14ac:dyDescent="0.2">
      <c r="A39" s="59">
        <v>46265</v>
      </c>
      <c r="B39" s="57" t="s">
        <v>314</v>
      </c>
      <c r="C39" s="57" t="s">
        <v>170</v>
      </c>
      <c r="D39" s="57" t="s">
        <v>341</v>
      </c>
    </row>
    <row r="40" spans="1:4" x14ac:dyDescent="0.2">
      <c r="A40" s="59"/>
      <c r="B40" s="57"/>
      <c r="C40" s="57"/>
      <c r="D40" s="57"/>
    </row>
    <row r="41" spans="1:4" x14ac:dyDescent="0.2">
      <c r="A41" s="59">
        <v>46281</v>
      </c>
      <c r="B41" s="57" t="s">
        <v>312</v>
      </c>
      <c r="C41" s="57" t="s">
        <v>361</v>
      </c>
      <c r="D41" s="57" t="s">
        <v>341</v>
      </c>
    </row>
    <row r="42" spans="1:4" x14ac:dyDescent="0.2">
      <c r="A42" s="59"/>
      <c r="B42" s="57"/>
      <c r="C42" s="57"/>
      <c r="D42" s="57"/>
    </row>
    <row r="43" spans="1:4" x14ac:dyDescent="0.2">
      <c r="A43" s="59">
        <v>46334</v>
      </c>
      <c r="B43" s="57" t="s">
        <v>340</v>
      </c>
      <c r="C43" s="57" t="s">
        <v>319</v>
      </c>
      <c r="D43" s="57" t="s">
        <v>341</v>
      </c>
    </row>
    <row r="44" spans="1:4" x14ac:dyDescent="0.2">
      <c r="A44" s="59"/>
      <c r="B44" s="57"/>
      <c r="C44" s="57"/>
      <c r="D44" s="57"/>
    </row>
    <row r="45" spans="1:4" x14ac:dyDescent="0.2">
      <c r="A45" s="59">
        <v>46335</v>
      </c>
      <c r="B45" s="57" t="s">
        <v>314</v>
      </c>
      <c r="C45" s="57" t="s">
        <v>362</v>
      </c>
      <c r="D45" s="58" t="s">
        <v>341</v>
      </c>
    </row>
    <row r="46" spans="1:4" x14ac:dyDescent="0.2">
      <c r="A46" s="59"/>
      <c r="B46" s="57"/>
      <c r="C46" s="57"/>
      <c r="D46" s="58"/>
    </row>
    <row r="47" spans="1:4" x14ac:dyDescent="0.2">
      <c r="A47" s="59">
        <v>46367</v>
      </c>
      <c r="B47" s="57" t="s">
        <v>348</v>
      </c>
      <c r="C47" s="57" t="s">
        <v>363</v>
      </c>
      <c r="D47" s="57" t="s">
        <v>341</v>
      </c>
    </row>
    <row r="48" spans="1:4" x14ac:dyDescent="0.2">
      <c r="A48" s="59"/>
      <c r="B48" s="57"/>
      <c r="C48" s="57"/>
      <c r="D48" s="58"/>
    </row>
    <row r="49" spans="1:4" x14ac:dyDescent="0.2">
      <c r="A49" s="402">
        <v>46381</v>
      </c>
      <c r="B49" s="58" t="s">
        <v>348</v>
      </c>
      <c r="C49" s="58" t="s">
        <v>141</v>
      </c>
      <c r="D49" s="58" t="s">
        <v>341</v>
      </c>
    </row>
    <row r="56" spans="1:4" x14ac:dyDescent="0.2">
      <c r="A56" s="403" t="s">
        <v>171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O11"/>
  <sheetViews>
    <sheetView showGridLines="0" zoomScale="70" zoomScaleNormal="70" workbookViewId="0">
      <selection activeCell="K4" sqref="K4"/>
    </sheetView>
  </sheetViews>
  <sheetFormatPr defaultColWidth="9.140625" defaultRowHeight="14.25" x14ac:dyDescent="0.2"/>
  <cols>
    <col min="1" max="1" width="15.5703125" style="5" customWidth="1"/>
    <col min="2" max="2" width="21.28515625" style="5" customWidth="1"/>
    <col min="3" max="3" width="23" style="5" customWidth="1"/>
    <col min="4" max="4" width="3" style="5" customWidth="1"/>
    <col min="5" max="5" width="15.85546875" style="5" customWidth="1"/>
    <col min="6" max="6" width="17.140625" style="5" customWidth="1"/>
    <col min="7" max="7" width="17.5703125" style="5" customWidth="1"/>
    <col min="8" max="8" width="13" style="5" customWidth="1"/>
    <col min="9" max="9" width="12.5703125" style="5" customWidth="1"/>
    <col min="10" max="10" width="15.85546875" style="5" customWidth="1"/>
    <col min="11" max="14" width="20" style="5" customWidth="1"/>
    <col min="15" max="16384" width="9.140625" style="5"/>
  </cols>
  <sheetData>
    <row r="1" spans="1:15" s="1" customFormat="1" ht="31.5" customHeight="1" x14ac:dyDescent="0.25">
      <c r="A1" s="498" t="s">
        <v>0</v>
      </c>
      <c r="B1" s="500" t="s">
        <v>1</v>
      </c>
      <c r="C1" s="501"/>
      <c r="D1" s="502"/>
      <c r="E1" s="496" t="s">
        <v>2</v>
      </c>
      <c r="F1" s="496" t="s">
        <v>3</v>
      </c>
      <c r="G1" s="496"/>
      <c r="H1" s="500" t="s">
        <v>4</v>
      </c>
      <c r="I1" s="502"/>
      <c r="J1" s="496" t="s">
        <v>5</v>
      </c>
    </row>
    <row r="2" spans="1:15" s="1" customFormat="1" ht="26.25" customHeight="1" thickBot="1" x14ac:dyDescent="0.3">
      <c r="A2" s="499"/>
      <c r="B2" s="503"/>
      <c r="C2" s="504"/>
      <c r="D2" s="505"/>
      <c r="E2" s="497"/>
      <c r="F2" s="2" t="s">
        <v>6</v>
      </c>
      <c r="G2" s="2" t="s">
        <v>7</v>
      </c>
      <c r="H2" s="506"/>
      <c r="I2" s="507"/>
      <c r="J2" s="497"/>
    </row>
    <row r="3" spans="1:15" ht="143.25" thickBot="1" x14ac:dyDescent="0.25">
      <c r="A3" s="3" t="s">
        <v>8</v>
      </c>
      <c r="B3" s="508" t="s">
        <v>9</v>
      </c>
      <c r="C3" s="509"/>
      <c r="D3" s="510"/>
      <c r="E3" s="4" t="s">
        <v>10</v>
      </c>
      <c r="F3" s="4" t="s">
        <v>11</v>
      </c>
      <c r="G3" s="4" t="s">
        <v>12</v>
      </c>
      <c r="H3" s="511" t="s">
        <v>13</v>
      </c>
      <c r="I3" s="512"/>
      <c r="J3" s="4">
        <v>1</v>
      </c>
    </row>
    <row r="4" spans="1:15" ht="143.25" thickBot="1" x14ac:dyDescent="0.25">
      <c r="A4" s="6" t="s">
        <v>14</v>
      </c>
      <c r="B4" s="508" t="s">
        <v>15</v>
      </c>
      <c r="C4" s="509"/>
      <c r="D4" s="510"/>
      <c r="E4" s="4" t="s">
        <v>16</v>
      </c>
      <c r="F4" s="7" t="s">
        <v>11</v>
      </c>
      <c r="G4" s="7" t="s">
        <v>12</v>
      </c>
      <c r="H4" s="513" t="s">
        <v>13</v>
      </c>
      <c r="I4" s="514"/>
      <c r="J4" s="4" t="s">
        <v>17</v>
      </c>
    </row>
    <row r="5" spans="1:15" ht="142.5" x14ac:dyDescent="0.2">
      <c r="A5" s="515" t="s">
        <v>18</v>
      </c>
      <c r="B5" s="517" t="s">
        <v>19</v>
      </c>
      <c r="C5" s="518"/>
      <c r="D5" s="519"/>
      <c r="E5" s="523" t="s">
        <v>10</v>
      </c>
      <c r="F5" s="8" t="s">
        <v>20</v>
      </c>
      <c r="G5" s="8" t="s">
        <v>21</v>
      </c>
      <c r="H5" s="523" t="s">
        <v>13</v>
      </c>
      <c r="I5" s="523"/>
      <c r="J5" s="523">
        <v>1</v>
      </c>
    </row>
    <row r="6" spans="1:15" ht="35.25" customHeight="1" x14ac:dyDescent="0.2">
      <c r="A6" s="516"/>
      <c r="B6" s="520"/>
      <c r="C6" s="521"/>
      <c r="D6" s="522"/>
      <c r="E6" s="524"/>
      <c r="F6" s="524" t="s">
        <v>22</v>
      </c>
      <c r="G6" s="524"/>
      <c r="H6" s="524"/>
      <c r="I6" s="524"/>
      <c r="J6" s="524"/>
    </row>
    <row r="7" spans="1:15" ht="58.5" x14ac:dyDescent="0.2">
      <c r="A7" s="525" t="s">
        <v>23</v>
      </c>
      <c r="B7" s="528" t="s">
        <v>24</v>
      </c>
      <c r="C7" s="529"/>
      <c r="D7" s="530"/>
      <c r="E7" s="534" t="s">
        <v>10</v>
      </c>
      <c r="F7" s="9"/>
      <c r="G7" s="10"/>
      <c r="H7" s="11" t="s">
        <v>25</v>
      </c>
      <c r="I7" s="12" t="s">
        <v>26</v>
      </c>
      <c r="J7" s="534">
        <v>2</v>
      </c>
    </row>
    <row r="8" spans="1:15" ht="144.75" customHeight="1" x14ac:dyDescent="0.2">
      <c r="A8" s="526"/>
      <c r="B8" s="520"/>
      <c r="C8" s="521"/>
      <c r="D8" s="522"/>
      <c r="E8" s="534"/>
      <c r="F8" s="13" t="s">
        <v>20</v>
      </c>
      <c r="G8" s="14" t="s">
        <v>21</v>
      </c>
      <c r="H8" s="7" t="s">
        <v>13</v>
      </c>
      <c r="I8" s="7" t="s">
        <v>27</v>
      </c>
      <c r="J8" s="534"/>
      <c r="K8" s="15"/>
      <c r="L8" s="15"/>
      <c r="M8" s="15"/>
      <c r="N8" s="15"/>
      <c r="O8" s="16"/>
    </row>
    <row r="9" spans="1:15" ht="55.5" customHeight="1" x14ac:dyDescent="0.2">
      <c r="A9" s="527"/>
      <c r="B9" s="531"/>
      <c r="C9" s="532"/>
      <c r="D9" s="533"/>
      <c r="E9" s="534"/>
      <c r="F9" s="535" t="s">
        <v>28</v>
      </c>
      <c r="G9" s="536"/>
      <c r="H9" s="536"/>
      <c r="I9" s="537"/>
      <c r="J9" s="534"/>
    </row>
    <row r="10" spans="1:15" ht="142.5" x14ac:dyDescent="0.2">
      <c r="A10" s="538" t="s">
        <v>29</v>
      </c>
      <c r="B10" s="528" t="s">
        <v>30</v>
      </c>
      <c r="C10" s="529"/>
      <c r="D10" s="530"/>
      <c r="E10" s="524" t="s">
        <v>10</v>
      </c>
      <c r="F10" s="9" t="s">
        <v>20</v>
      </c>
      <c r="G10" s="17" t="s">
        <v>21</v>
      </c>
      <c r="H10" s="540" t="s">
        <v>13</v>
      </c>
      <c r="I10" s="541"/>
      <c r="J10" s="524">
        <v>1</v>
      </c>
    </row>
    <row r="11" spans="1:15" ht="36.75" customHeight="1" x14ac:dyDescent="0.2">
      <c r="A11" s="538"/>
      <c r="B11" s="531"/>
      <c r="C11" s="532"/>
      <c r="D11" s="533"/>
      <c r="E11" s="539"/>
      <c r="F11" s="534" t="s">
        <v>22</v>
      </c>
      <c r="G11" s="534"/>
      <c r="H11" s="534"/>
      <c r="I11" s="534"/>
      <c r="J11" s="539"/>
    </row>
  </sheetData>
  <mergeCells count="27">
    <mergeCell ref="A10:A11"/>
    <mergeCell ref="B10:D11"/>
    <mergeCell ref="E10:E11"/>
    <mergeCell ref="H10:I10"/>
    <mergeCell ref="J10:J11"/>
    <mergeCell ref="F11:I11"/>
    <mergeCell ref="J5:J6"/>
    <mergeCell ref="F6:I6"/>
    <mergeCell ref="A7:A9"/>
    <mergeCell ref="B7:D9"/>
    <mergeCell ref="E7:E9"/>
    <mergeCell ref="J7:J9"/>
    <mergeCell ref="F9:I9"/>
    <mergeCell ref="B3:D3"/>
    <mergeCell ref="H3:I3"/>
    <mergeCell ref="B4:D4"/>
    <mergeCell ref="H4:I4"/>
    <mergeCell ref="A5:A6"/>
    <mergeCell ref="B5:D6"/>
    <mergeCell ref="E5:E6"/>
    <mergeCell ref="H5:I5"/>
    <mergeCell ref="J1:J2"/>
    <mergeCell ref="A1:A2"/>
    <mergeCell ref="B1:D2"/>
    <mergeCell ref="E1:E2"/>
    <mergeCell ref="F1:G1"/>
    <mergeCell ref="H1:I2"/>
  </mergeCells>
  <pageMargins left="0.61" right="0.38" top="0.85" bottom="0.28000000000000003" header="0.71" footer="0.23"/>
  <pageSetup paperSize="9" scale="55" orientation="portrait" r:id="rId1"/>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0</xdr:col>
                <xdr:colOff>28575</xdr:colOff>
                <xdr:row>0</xdr:row>
                <xdr:rowOff>0</xdr:rowOff>
              </from>
              <to>
                <xdr:col>1</xdr:col>
                <xdr:colOff>876300</xdr:colOff>
                <xdr:row>0</xdr:row>
                <xdr:rowOff>0</xdr:rowOff>
              </to>
            </anchor>
          </objectPr>
        </oleObject>
      </mc:Choice>
      <mc:Fallback>
        <oleObject progId="PBrush" shapeId="102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V34"/>
  <sheetViews>
    <sheetView topLeftCell="A16" zoomScale="90" zoomScaleNormal="90" zoomScaleSheetLayoutView="70" workbookViewId="0">
      <selection activeCell="E8" sqref="E8"/>
    </sheetView>
  </sheetViews>
  <sheetFormatPr defaultColWidth="9.140625" defaultRowHeight="12.75" x14ac:dyDescent="0.2"/>
  <cols>
    <col min="1" max="1" width="5.42578125" style="44" customWidth="1"/>
    <col min="2" max="2" width="3.28515625" style="44" customWidth="1"/>
    <col min="3" max="3" width="12.85546875" style="44" customWidth="1"/>
    <col min="4" max="4" width="16.7109375" style="44" customWidth="1"/>
    <col min="5" max="5" width="23.28515625" style="44" customWidth="1"/>
    <col min="6" max="6" width="13.140625" style="44" customWidth="1"/>
    <col min="7" max="7" width="15.5703125" style="44" customWidth="1"/>
    <col min="8" max="8" width="14.140625" style="44" customWidth="1"/>
    <col min="9" max="11" width="5.85546875" style="44" customWidth="1"/>
    <col min="12" max="13" width="10.85546875" style="44" customWidth="1"/>
    <col min="14" max="14" width="12.85546875" style="44" customWidth="1"/>
    <col min="15" max="15" width="12.28515625" style="44" customWidth="1"/>
    <col min="16" max="16384" width="9.140625" style="44"/>
  </cols>
  <sheetData>
    <row r="1" spans="1:22" s="45" customFormat="1" ht="66" customHeight="1" x14ac:dyDescent="0.25">
      <c r="A1" s="546" t="s">
        <v>45</v>
      </c>
      <c r="B1" s="546"/>
      <c r="C1" s="546"/>
      <c r="D1" s="546"/>
      <c r="E1" s="546"/>
      <c r="F1" s="546"/>
      <c r="G1" s="546"/>
      <c r="H1" s="546"/>
      <c r="I1" s="546"/>
      <c r="J1" s="546"/>
      <c r="K1" s="546"/>
      <c r="L1" s="546"/>
      <c r="M1" s="546"/>
      <c r="N1" s="546"/>
      <c r="O1" s="546"/>
      <c r="P1" s="22"/>
      <c r="Q1" s="22"/>
      <c r="R1" s="22"/>
      <c r="S1" s="22"/>
      <c r="T1" s="22"/>
      <c r="U1" s="22"/>
      <c r="V1" s="22"/>
    </row>
    <row r="2" spans="1:22" s="45" customFormat="1" ht="38.25" customHeight="1" x14ac:dyDescent="0.25">
      <c r="A2" s="545" t="s">
        <v>146</v>
      </c>
      <c r="B2" s="545"/>
      <c r="C2" s="545"/>
      <c r="D2" s="545"/>
      <c r="E2" s="545"/>
      <c r="F2" s="545"/>
      <c r="G2" s="545"/>
      <c r="H2" s="545"/>
      <c r="I2" s="545"/>
      <c r="J2" s="545"/>
      <c r="K2" s="545"/>
      <c r="L2" s="545"/>
      <c r="M2" s="545"/>
      <c r="N2" s="545"/>
      <c r="O2" s="545"/>
      <c r="P2" s="23"/>
      <c r="Q2" s="23"/>
      <c r="R2" s="23"/>
      <c r="S2" s="23"/>
      <c r="T2" s="23"/>
      <c r="U2" s="23"/>
      <c r="V2" s="23"/>
    </row>
    <row r="3" spans="1:22" s="45" customFormat="1" ht="11.25" customHeight="1" x14ac:dyDescent="0.25">
      <c r="A3" s="544"/>
      <c r="B3" s="544"/>
      <c r="C3" s="544"/>
      <c r="D3" s="544"/>
      <c r="E3" s="544"/>
      <c r="F3" s="544"/>
      <c r="G3" s="544"/>
      <c r="H3" s="544"/>
      <c r="I3" s="544"/>
      <c r="J3" s="544"/>
      <c r="K3" s="544"/>
      <c r="L3" s="544"/>
      <c r="M3" s="544"/>
      <c r="N3" s="544"/>
      <c r="O3" s="544"/>
      <c r="P3" s="22"/>
      <c r="Q3" s="22"/>
      <c r="R3" s="22"/>
      <c r="S3" s="22"/>
      <c r="T3" s="22"/>
      <c r="U3" s="22"/>
      <c r="V3" s="22"/>
    </row>
    <row r="4" spans="1:22" s="276" customFormat="1" ht="10.5" customHeight="1" x14ac:dyDescent="0.2">
      <c r="A4" s="277"/>
      <c r="B4" s="185"/>
      <c r="C4" s="185"/>
      <c r="D4" s="185"/>
      <c r="E4" s="319"/>
      <c r="F4" s="319"/>
      <c r="G4" s="185"/>
      <c r="H4" s="185"/>
      <c r="I4" s="185"/>
      <c r="J4" s="185"/>
      <c r="K4" s="185"/>
      <c r="L4" s="185"/>
      <c r="M4" s="185"/>
      <c r="N4" s="185"/>
      <c r="O4" s="185"/>
      <c r="P4" s="185"/>
      <c r="Q4" s="185"/>
      <c r="R4" s="185"/>
      <c r="S4" s="185"/>
      <c r="T4" s="185"/>
      <c r="U4" s="185"/>
      <c r="V4" s="185"/>
    </row>
    <row r="5" spans="1:22" s="320" customFormat="1" ht="12.95" customHeight="1" x14ac:dyDescent="0.25">
      <c r="B5" s="321"/>
      <c r="C5" s="321"/>
      <c r="D5" s="321" t="s">
        <v>47</v>
      </c>
      <c r="E5" s="550" t="s">
        <v>337</v>
      </c>
      <c r="F5" s="550"/>
      <c r="G5" s="322"/>
      <c r="H5" s="321"/>
      <c r="I5" s="321" t="s">
        <v>332</v>
      </c>
      <c r="J5" s="547" t="s">
        <v>338</v>
      </c>
      <c r="K5" s="548"/>
      <c r="L5" s="548"/>
      <c r="M5" s="549"/>
      <c r="N5" s="322"/>
      <c r="O5" s="323"/>
      <c r="P5" s="324"/>
      <c r="V5" s="325"/>
    </row>
    <row r="6" spans="1:22" s="320" customFormat="1" ht="8.1" customHeight="1" x14ac:dyDescent="0.25">
      <c r="B6" s="321"/>
      <c r="C6" s="321"/>
      <c r="D6" s="321"/>
      <c r="E6" s="321"/>
      <c r="F6" s="321"/>
      <c r="G6" s="326"/>
      <c r="I6" s="321"/>
      <c r="J6" s="321"/>
      <c r="K6" s="321"/>
      <c r="L6" s="321"/>
      <c r="M6" s="321"/>
      <c r="N6" s="327"/>
      <c r="O6" s="327"/>
      <c r="P6" s="328"/>
      <c r="V6" s="325"/>
    </row>
    <row r="7" spans="1:22" s="320" customFormat="1" ht="12.95" customHeight="1" x14ac:dyDescent="0.25">
      <c r="B7" s="321"/>
      <c r="C7" s="321"/>
      <c r="D7" s="321" t="s">
        <v>53</v>
      </c>
      <c r="E7" s="551">
        <v>46082</v>
      </c>
      <c r="F7" s="549"/>
      <c r="G7" s="322"/>
      <c r="I7" s="321" t="s">
        <v>333</v>
      </c>
      <c r="J7" s="547" t="s">
        <v>143</v>
      </c>
      <c r="K7" s="548"/>
      <c r="L7" s="548"/>
      <c r="M7" s="549"/>
      <c r="N7" s="322"/>
      <c r="O7" s="329"/>
      <c r="P7" s="324"/>
      <c r="V7" s="325"/>
    </row>
    <row r="8" spans="1:22" s="320" customFormat="1" ht="8.1" customHeight="1" x14ac:dyDescent="0.25">
      <c r="B8" s="321"/>
      <c r="C8" s="321"/>
      <c r="D8" s="321"/>
      <c r="E8" s="330" t="s">
        <v>142</v>
      </c>
      <c r="F8" s="321"/>
      <c r="G8" s="326"/>
      <c r="I8" s="321"/>
      <c r="J8" s="321"/>
      <c r="K8" s="321"/>
      <c r="L8" s="321"/>
      <c r="M8" s="321"/>
      <c r="N8" s="331"/>
      <c r="O8" s="331"/>
      <c r="P8" s="331"/>
      <c r="V8" s="325"/>
    </row>
    <row r="9" spans="1:22" s="320" customFormat="1" ht="12.95" customHeight="1" x14ac:dyDescent="0.25">
      <c r="A9" s="556" t="s">
        <v>331</v>
      </c>
      <c r="B9" s="556"/>
      <c r="C9" s="556"/>
      <c r="D9" s="557"/>
      <c r="E9" s="552">
        <v>17762.21</v>
      </c>
      <c r="F9" s="553"/>
      <c r="G9" s="322"/>
      <c r="I9" s="321"/>
      <c r="J9" s="323"/>
      <c r="K9" s="323"/>
      <c r="L9" s="323"/>
      <c r="M9" s="323"/>
      <c r="N9" s="331"/>
      <c r="O9" s="331"/>
      <c r="P9" s="331"/>
      <c r="V9" s="325"/>
    </row>
    <row r="10" spans="1:22" s="320" customFormat="1" ht="8.1" customHeight="1" x14ac:dyDescent="0.25">
      <c r="B10" s="321"/>
      <c r="C10" s="321"/>
      <c r="D10" s="321"/>
      <c r="E10" s="321"/>
      <c r="F10" s="321"/>
      <c r="G10" s="326"/>
      <c r="I10" s="321"/>
      <c r="J10" s="321"/>
      <c r="K10" s="321"/>
      <c r="L10" s="321"/>
      <c r="M10" s="321"/>
      <c r="N10" s="331"/>
      <c r="O10" s="331"/>
      <c r="P10" s="331"/>
      <c r="V10" s="325"/>
    </row>
    <row r="11" spans="1:22" s="320" customFormat="1" ht="12.95" customHeight="1" x14ac:dyDescent="0.25">
      <c r="A11" s="554" t="s">
        <v>330</v>
      </c>
      <c r="B11" s="554"/>
      <c r="C11" s="554"/>
      <c r="D11" s="555"/>
      <c r="E11" s="542">
        <f>E9*0.975</f>
        <v>17318.154749999998</v>
      </c>
      <c r="F11" s="542"/>
      <c r="G11" s="332"/>
      <c r="I11" s="321"/>
      <c r="J11" s="323"/>
      <c r="K11" s="323"/>
      <c r="L11" s="323"/>
      <c r="M11" s="323"/>
      <c r="N11" s="331"/>
      <c r="O11" s="331"/>
      <c r="P11" s="331"/>
      <c r="V11" s="325"/>
    </row>
    <row r="12" spans="1:22" s="320" customFormat="1" ht="8.1" customHeight="1" x14ac:dyDescent="0.25">
      <c r="B12" s="321"/>
      <c r="C12" s="333"/>
      <c r="D12" s="333"/>
      <c r="E12" s="334"/>
      <c r="F12" s="334"/>
      <c r="G12" s="335"/>
      <c r="H12" s="336"/>
      <c r="I12" s="336"/>
      <c r="J12" s="336"/>
      <c r="K12" s="336"/>
      <c r="L12" s="337"/>
      <c r="M12" s="331"/>
      <c r="N12" s="331"/>
      <c r="O12" s="331"/>
      <c r="P12" s="331"/>
      <c r="V12" s="325"/>
    </row>
    <row r="13" spans="1:22" s="320" customFormat="1" ht="12.95" customHeight="1" x14ac:dyDescent="0.25">
      <c r="A13" s="554" t="s">
        <v>326</v>
      </c>
      <c r="B13" s="556"/>
      <c r="C13" s="556"/>
      <c r="D13" s="557"/>
      <c r="E13" s="543">
        <f>E9-E11</f>
        <v>444.05525000000125</v>
      </c>
      <c r="F13" s="543"/>
      <c r="G13" s="322"/>
      <c r="I13" s="321"/>
      <c r="J13" s="323"/>
      <c r="K13" s="323"/>
      <c r="L13" s="323"/>
      <c r="M13" s="323"/>
      <c r="N13" s="331"/>
      <c r="O13" s="331"/>
      <c r="P13" s="331"/>
      <c r="V13" s="325"/>
    </row>
    <row r="14" spans="1:22" s="24" customFormat="1" ht="8.1" customHeight="1" x14ac:dyDescent="0.25">
      <c r="B14" s="25"/>
      <c r="C14" s="25"/>
      <c r="D14" s="25"/>
      <c r="E14" s="25"/>
      <c r="F14" s="25"/>
      <c r="G14" s="27"/>
      <c r="I14" s="25"/>
      <c r="J14" s="25"/>
      <c r="K14" s="25"/>
      <c r="L14" s="25"/>
      <c r="M14" s="25"/>
      <c r="N14" s="28"/>
      <c r="O14" s="28"/>
      <c r="P14" s="28"/>
      <c r="V14" s="26"/>
    </row>
    <row r="15" spans="1:22" x14ac:dyDescent="0.2">
      <c r="A15" s="39"/>
      <c r="B15" s="39"/>
      <c r="C15" s="39"/>
      <c r="D15" s="39"/>
      <c r="E15" s="40"/>
      <c r="F15" s="40"/>
      <c r="G15" s="41"/>
      <c r="H15" s="42"/>
      <c r="I15" s="43"/>
      <c r="J15" s="43"/>
      <c r="K15" s="43"/>
      <c r="L15" s="43"/>
      <c r="M15" s="43"/>
      <c r="N15" s="43"/>
      <c r="O15" s="43"/>
    </row>
    <row r="16" spans="1:22" x14ac:dyDescent="0.2">
      <c r="A16" s="39"/>
      <c r="B16" s="39"/>
      <c r="C16" s="39"/>
      <c r="D16" s="39"/>
      <c r="E16" s="40"/>
      <c r="F16" s="40"/>
      <c r="G16" s="41"/>
      <c r="H16" s="42"/>
      <c r="I16" s="43"/>
      <c r="J16" s="43"/>
      <c r="K16" s="43"/>
      <c r="L16" s="43"/>
      <c r="M16" s="43"/>
      <c r="N16" s="43"/>
      <c r="O16" s="43"/>
    </row>
    <row r="17" spans="1:15" ht="25.5" customHeight="1" x14ac:dyDescent="0.2">
      <c r="A17" s="558" t="s">
        <v>31</v>
      </c>
      <c r="B17" s="558" t="s">
        <v>32</v>
      </c>
      <c r="C17" s="558"/>
      <c r="D17" s="558"/>
      <c r="E17" s="558"/>
      <c r="F17" s="558"/>
      <c r="G17" s="558"/>
      <c r="H17" s="558"/>
      <c r="I17" s="558" t="s">
        <v>33</v>
      </c>
      <c r="J17" s="558"/>
      <c r="K17" s="558"/>
      <c r="L17" s="558" t="s">
        <v>34</v>
      </c>
      <c r="M17" s="560"/>
      <c r="N17" s="561" t="s">
        <v>35</v>
      </c>
      <c r="O17" s="558" t="s">
        <v>36</v>
      </c>
    </row>
    <row r="18" spans="1:15" ht="12" customHeight="1" x14ac:dyDescent="0.2">
      <c r="A18" s="559"/>
      <c r="B18" s="558"/>
      <c r="C18" s="558"/>
      <c r="D18" s="558"/>
      <c r="E18" s="558"/>
      <c r="F18" s="558"/>
      <c r="G18" s="558"/>
      <c r="H18" s="558"/>
      <c r="I18" s="558"/>
      <c r="J18" s="558"/>
      <c r="K18" s="558"/>
      <c r="L18" s="560"/>
      <c r="M18" s="560"/>
      <c r="N18" s="561"/>
      <c r="O18" s="558"/>
    </row>
    <row r="19" spans="1:15" ht="35.25" customHeight="1" x14ac:dyDescent="0.2">
      <c r="A19" s="46" t="s">
        <v>8</v>
      </c>
      <c r="B19" s="562" t="s">
        <v>37</v>
      </c>
      <c r="C19" s="562"/>
      <c r="D19" s="562"/>
      <c r="E19" s="562"/>
      <c r="F19" s="562"/>
      <c r="G19" s="562"/>
      <c r="H19" s="562"/>
      <c r="I19" s="563" t="s">
        <v>10</v>
      </c>
      <c r="J19" s="563"/>
      <c r="K19" s="563"/>
      <c r="L19" s="564">
        <f>'B1-RESPONSE &amp; B2-REPAIR'!N37</f>
        <v>0</v>
      </c>
      <c r="M19" s="564"/>
      <c r="N19" s="47">
        <f>L19/$E$11%</f>
        <v>0</v>
      </c>
      <c r="O19" s="47">
        <f t="shared" ref="O19:O24" si="0">100-N19</f>
        <v>100</v>
      </c>
    </row>
    <row r="20" spans="1:15" ht="35.25" customHeight="1" x14ac:dyDescent="0.2">
      <c r="A20" s="48" t="s">
        <v>14</v>
      </c>
      <c r="B20" s="565" t="s">
        <v>38</v>
      </c>
      <c r="C20" s="565"/>
      <c r="D20" s="565"/>
      <c r="E20" s="565"/>
      <c r="F20" s="565"/>
      <c r="G20" s="565"/>
      <c r="H20" s="565"/>
      <c r="I20" s="563" t="s">
        <v>16</v>
      </c>
      <c r="J20" s="563"/>
      <c r="K20" s="563"/>
      <c r="L20" s="564">
        <f>'B1-RESPONSE &amp; B2-REPAIR'!T37</f>
        <v>2200</v>
      </c>
      <c r="M20" s="564"/>
      <c r="N20" s="47">
        <f>L20/$E$11%</f>
        <v>12.703431928854894</v>
      </c>
      <c r="O20" s="47">
        <f t="shared" si="0"/>
        <v>87.296568071145103</v>
      </c>
    </row>
    <row r="21" spans="1:15" ht="35.25" customHeight="1" x14ac:dyDescent="0.2">
      <c r="A21" s="46" t="s">
        <v>18</v>
      </c>
      <c r="B21" s="565" t="s">
        <v>39</v>
      </c>
      <c r="C21" s="565"/>
      <c r="D21" s="565"/>
      <c r="E21" s="565"/>
      <c r="F21" s="565"/>
      <c r="G21" s="565"/>
      <c r="H21" s="565"/>
      <c r="I21" s="563" t="s">
        <v>10</v>
      </c>
      <c r="J21" s="563"/>
      <c r="K21" s="563"/>
      <c r="L21" s="564">
        <f>'B3-SCHEDULED'!L65</f>
        <v>0</v>
      </c>
      <c r="M21" s="564"/>
      <c r="N21" s="47">
        <f>L21/$E$11%</f>
        <v>0</v>
      </c>
      <c r="O21" s="47">
        <f t="shared" si="0"/>
        <v>100</v>
      </c>
    </row>
    <row r="22" spans="1:15" ht="35.25" customHeight="1" x14ac:dyDescent="0.2">
      <c r="A22" s="46" t="s">
        <v>23</v>
      </c>
      <c r="B22" s="565" t="s">
        <v>40</v>
      </c>
      <c r="C22" s="565"/>
      <c r="D22" s="565"/>
      <c r="E22" s="565"/>
      <c r="F22" s="565"/>
      <c r="G22" s="565"/>
      <c r="H22" s="565"/>
      <c r="I22" s="563" t="s">
        <v>10</v>
      </c>
      <c r="J22" s="563"/>
      <c r="K22" s="563"/>
      <c r="L22" s="564">
        <f>'B4-UPTIME'!AA37</f>
        <v>0</v>
      </c>
      <c r="M22" s="564"/>
      <c r="N22" s="47">
        <f>L22/$E$11%</f>
        <v>0</v>
      </c>
      <c r="O22" s="47">
        <f t="shared" si="0"/>
        <v>100</v>
      </c>
    </row>
    <row r="23" spans="1:15" ht="35.25" customHeight="1" x14ac:dyDescent="0.2">
      <c r="A23" s="46" t="s">
        <v>29</v>
      </c>
      <c r="B23" s="565" t="s">
        <v>41</v>
      </c>
      <c r="C23" s="565"/>
      <c r="D23" s="565"/>
      <c r="E23" s="565"/>
      <c r="F23" s="565"/>
      <c r="G23" s="565"/>
      <c r="H23" s="565"/>
      <c r="I23" s="563" t="s">
        <v>10</v>
      </c>
      <c r="J23" s="563"/>
      <c r="K23" s="563"/>
      <c r="L23" s="566">
        <f>'B5-T&amp;C'!O23</f>
        <v>0</v>
      </c>
      <c r="M23" s="566"/>
      <c r="N23" s="47">
        <f>L23/$E$11%</f>
        <v>0</v>
      </c>
      <c r="O23" s="47">
        <f t="shared" si="0"/>
        <v>100</v>
      </c>
    </row>
    <row r="24" spans="1:15" ht="35.25" customHeight="1" x14ac:dyDescent="0.2">
      <c r="A24" s="558" t="s">
        <v>42</v>
      </c>
      <c r="B24" s="558"/>
      <c r="C24" s="558"/>
      <c r="D24" s="558"/>
      <c r="E24" s="558"/>
      <c r="F24" s="558"/>
      <c r="G24" s="558"/>
      <c r="H24" s="558"/>
      <c r="I24" s="558"/>
      <c r="J24" s="558"/>
      <c r="K24" s="558"/>
      <c r="L24" s="567">
        <f>SUM(L19:M23)</f>
        <v>2200</v>
      </c>
      <c r="M24" s="560"/>
      <c r="N24" s="47">
        <f>L24/$E$9%</f>
        <v>12.385846130633519</v>
      </c>
      <c r="O24" s="47">
        <f t="shared" si="0"/>
        <v>87.614153869366476</v>
      </c>
    </row>
    <row r="26" spans="1:15" x14ac:dyDescent="0.2">
      <c r="N26" s="55"/>
    </row>
    <row r="27" spans="1:15" s="49" customFormat="1" ht="12" x14ac:dyDescent="0.2">
      <c r="C27" s="49" t="s">
        <v>43</v>
      </c>
      <c r="I27" s="49" t="s">
        <v>44</v>
      </c>
    </row>
    <row r="28" spans="1:15" s="49" customFormat="1" ht="12" x14ac:dyDescent="0.2"/>
    <row r="29" spans="1:15" s="49" customFormat="1" ht="12" x14ac:dyDescent="0.2"/>
    <row r="30" spans="1:15" s="49" customFormat="1" ht="12" x14ac:dyDescent="0.2">
      <c r="C30" s="50"/>
      <c r="D30" s="50"/>
      <c r="I30" s="50"/>
      <c r="J30" s="50"/>
      <c r="K30" s="50"/>
      <c r="L30" s="50"/>
    </row>
    <row r="31" spans="1:15" s="49" customFormat="1" ht="17.25" customHeight="1" x14ac:dyDescent="0.2">
      <c r="C31" s="51" t="s">
        <v>345</v>
      </c>
      <c r="I31" s="51" t="s">
        <v>343</v>
      </c>
    </row>
    <row r="32" spans="1:15" s="49" customFormat="1" ht="17.25" customHeight="1" x14ac:dyDescent="0.2">
      <c r="C32" s="49" t="s">
        <v>147</v>
      </c>
      <c r="I32" s="49" t="s">
        <v>145</v>
      </c>
    </row>
    <row r="33" spans="3:9" s="49" customFormat="1" ht="16.5" customHeight="1" x14ac:dyDescent="0.2">
      <c r="C33" s="49" t="s">
        <v>342</v>
      </c>
      <c r="I33" s="49" t="s">
        <v>342</v>
      </c>
    </row>
    <row r="34" spans="3:9" s="49" customFormat="1" ht="19.5" customHeight="1" x14ac:dyDescent="0.2">
      <c r="C34" s="49" t="s">
        <v>144</v>
      </c>
      <c r="I34" s="49" t="s">
        <v>144</v>
      </c>
    </row>
  </sheetData>
  <mergeCells count="36">
    <mergeCell ref="B23:H23"/>
    <mergeCell ref="I23:K23"/>
    <mergeCell ref="L23:M23"/>
    <mergeCell ref="A24:K24"/>
    <mergeCell ref="L24:M24"/>
    <mergeCell ref="B21:H21"/>
    <mergeCell ref="I21:K21"/>
    <mergeCell ref="L21:M21"/>
    <mergeCell ref="B22:H22"/>
    <mergeCell ref="I22:K22"/>
    <mergeCell ref="L22:M22"/>
    <mergeCell ref="O17:O18"/>
    <mergeCell ref="B19:H19"/>
    <mergeCell ref="I19:K19"/>
    <mergeCell ref="L19:M19"/>
    <mergeCell ref="B20:H20"/>
    <mergeCell ref="I20:K20"/>
    <mergeCell ref="L20:M20"/>
    <mergeCell ref="A17:A18"/>
    <mergeCell ref="B17:H18"/>
    <mergeCell ref="I17:K18"/>
    <mergeCell ref="L17:M18"/>
    <mergeCell ref="N17:N18"/>
    <mergeCell ref="E11:F11"/>
    <mergeCell ref="E13:F13"/>
    <mergeCell ref="A3:O3"/>
    <mergeCell ref="A2:O2"/>
    <mergeCell ref="A1:O1"/>
    <mergeCell ref="J5:M5"/>
    <mergeCell ref="J7:M7"/>
    <mergeCell ref="E5:F5"/>
    <mergeCell ref="E7:F7"/>
    <mergeCell ref="E9:F9"/>
    <mergeCell ref="A11:D11"/>
    <mergeCell ref="A13:D13"/>
    <mergeCell ref="A9:D9"/>
  </mergeCells>
  <pageMargins left="0.70866141732283505" right="0.32" top="0.7" bottom="0.54" header="0.31496062992126" footer="0.31496062992126"/>
  <pageSetup paperSize="9" scale="79"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pageSetUpPr fitToPage="1"/>
  </sheetPr>
  <dimension ref="A1:U44"/>
  <sheetViews>
    <sheetView view="pageBreakPreview" topLeftCell="A22" zoomScale="23" zoomScaleNormal="30" zoomScaleSheetLayoutView="28" zoomScalePageLayoutView="60" workbookViewId="0">
      <selection activeCell="I25" sqref="I25"/>
    </sheetView>
  </sheetViews>
  <sheetFormatPr defaultColWidth="9.140625" defaultRowHeight="20.25" x14ac:dyDescent="0.25"/>
  <cols>
    <col min="1" max="1" width="10.85546875" style="167" customWidth="1"/>
    <col min="2" max="2" width="38.5703125" style="175" customWidth="1"/>
    <col min="3" max="3" width="69.140625" style="176" bestFit="1" customWidth="1"/>
    <col min="4" max="4" width="64.85546875" style="177" bestFit="1" customWidth="1"/>
    <col min="5" max="5" width="48.28515625" style="169" customWidth="1"/>
    <col min="6" max="6" width="41.42578125" style="169" customWidth="1"/>
    <col min="7" max="7" width="76.140625" style="175" customWidth="1"/>
    <col min="8" max="8" width="28.7109375" style="167" customWidth="1"/>
    <col min="9" max="9" width="39.85546875" style="253" customWidth="1"/>
    <col min="10" max="10" width="40.7109375" style="184" customWidth="1"/>
    <col min="11" max="11" width="40.7109375" style="179" customWidth="1"/>
    <col min="12" max="12" width="28.7109375" style="167" customWidth="1"/>
    <col min="13" max="13" width="20.7109375" style="167" customWidth="1"/>
    <col min="14" max="14" width="24.7109375" style="168" customWidth="1"/>
    <col min="15" max="15" width="26.85546875" style="169" customWidth="1"/>
    <col min="16" max="16" width="24.85546875" style="167" customWidth="1"/>
    <col min="17" max="17" width="17" style="167" customWidth="1"/>
    <col min="18" max="18" width="31.28515625" style="170" customWidth="1"/>
    <col min="19" max="19" width="21.140625" style="171" customWidth="1"/>
    <col min="20" max="20" width="48" style="168" bestFit="1" customWidth="1"/>
    <col min="21" max="21" width="105.7109375" style="172" customWidth="1"/>
    <col min="22" max="22" width="63.42578125" style="168" customWidth="1"/>
    <col min="23" max="16384" width="9.140625" style="168"/>
  </cols>
  <sheetData>
    <row r="1" spans="1:21" s="218" customFormat="1" ht="93.75" customHeight="1" x14ac:dyDescent="0.25">
      <c r="A1" s="568"/>
      <c r="B1" s="568"/>
      <c r="C1" s="568"/>
      <c r="D1" s="568"/>
      <c r="E1" s="568"/>
      <c r="F1" s="568"/>
      <c r="G1" s="568"/>
      <c r="H1" s="568"/>
      <c r="I1" s="568"/>
      <c r="J1" s="568"/>
      <c r="K1" s="568"/>
      <c r="L1" s="568"/>
      <c r="M1" s="568"/>
      <c r="N1" s="568"/>
      <c r="O1" s="568"/>
      <c r="P1" s="568"/>
      <c r="Q1" s="568"/>
      <c r="R1" s="568"/>
      <c r="S1" s="568"/>
      <c r="T1" s="568"/>
      <c r="U1" s="569"/>
    </row>
    <row r="2" spans="1:21" s="203" customFormat="1" ht="39.950000000000003" customHeight="1" x14ac:dyDescent="0.25">
      <c r="A2" s="358"/>
      <c r="B2" s="579" t="s">
        <v>45</v>
      </c>
      <c r="C2" s="579"/>
      <c r="D2" s="579"/>
      <c r="E2" s="579"/>
      <c r="F2" s="579"/>
      <c r="G2" s="579"/>
      <c r="H2" s="579"/>
      <c r="I2" s="579"/>
      <c r="J2" s="580"/>
      <c r="K2" s="580"/>
      <c r="L2" s="579"/>
      <c r="M2" s="579"/>
      <c r="N2" s="581"/>
      <c r="O2" s="579"/>
      <c r="P2" s="579"/>
      <c r="Q2" s="579"/>
      <c r="R2" s="580"/>
      <c r="S2" s="579"/>
      <c r="T2" s="579"/>
      <c r="U2" s="582"/>
    </row>
    <row r="3" spans="1:21" s="203" customFormat="1" ht="69.95" customHeight="1" x14ac:dyDescent="0.25">
      <c r="A3" s="219"/>
      <c r="B3" s="579" t="s">
        <v>321</v>
      </c>
      <c r="C3" s="579"/>
      <c r="D3" s="579"/>
      <c r="E3" s="579"/>
      <c r="F3" s="579"/>
      <c r="G3" s="579"/>
      <c r="H3" s="579"/>
      <c r="I3" s="579"/>
      <c r="J3" s="580"/>
      <c r="K3" s="580"/>
      <c r="L3" s="579"/>
      <c r="M3" s="579"/>
      <c r="N3" s="581"/>
      <c r="O3" s="579"/>
      <c r="P3" s="579"/>
      <c r="Q3" s="579"/>
      <c r="R3" s="580"/>
      <c r="S3" s="579"/>
      <c r="T3" s="579"/>
      <c r="U3" s="582"/>
    </row>
    <row r="4" spans="1:21" s="203" customFormat="1" ht="39.950000000000003" customHeight="1" x14ac:dyDescent="0.25">
      <c r="A4" s="219"/>
      <c r="B4" s="579" t="s">
        <v>46</v>
      </c>
      <c r="C4" s="579"/>
      <c r="D4" s="579"/>
      <c r="E4" s="579"/>
      <c r="F4" s="579"/>
      <c r="G4" s="579"/>
      <c r="H4" s="579"/>
      <c r="I4" s="579"/>
      <c r="J4" s="580"/>
      <c r="K4" s="580"/>
      <c r="L4" s="579"/>
      <c r="M4" s="579"/>
      <c r="N4" s="581"/>
      <c r="O4" s="579"/>
      <c r="P4" s="579"/>
      <c r="Q4" s="579"/>
      <c r="R4" s="580"/>
      <c r="S4" s="579"/>
      <c r="T4" s="579"/>
      <c r="U4" s="582"/>
    </row>
    <row r="5" spans="1:21" s="203" customFormat="1" ht="36" x14ac:dyDescent="0.25">
      <c r="A5" s="219"/>
      <c r="B5" s="358"/>
      <c r="C5" s="360"/>
      <c r="D5" s="220"/>
      <c r="E5" s="358"/>
      <c r="F5" s="358"/>
      <c r="G5" s="358"/>
      <c r="H5" s="358"/>
      <c r="I5" s="221"/>
      <c r="J5" s="359"/>
      <c r="K5" s="359"/>
      <c r="L5" s="222"/>
      <c r="M5" s="222"/>
      <c r="N5" s="223"/>
      <c r="O5" s="222"/>
      <c r="P5" s="222"/>
      <c r="Q5" s="222"/>
      <c r="R5" s="224"/>
      <c r="S5" s="225"/>
      <c r="T5" s="222"/>
      <c r="U5" s="226"/>
    </row>
    <row r="6" spans="1:21" s="203" customFormat="1" ht="68.25" customHeight="1" x14ac:dyDescent="0.25">
      <c r="A6" s="570" t="s">
        <v>322</v>
      </c>
      <c r="B6" s="571"/>
      <c r="C6" s="583" t="s">
        <v>335</v>
      </c>
      <c r="D6" s="584"/>
      <c r="E6" s="584"/>
      <c r="F6" s="584"/>
      <c r="G6" s="585"/>
      <c r="H6" s="218"/>
      <c r="I6" s="586" t="s">
        <v>48</v>
      </c>
      <c r="J6" s="587"/>
      <c r="K6" s="588"/>
      <c r="L6" s="589" t="s">
        <v>407</v>
      </c>
      <c r="M6" s="590"/>
      <c r="N6" s="590"/>
      <c r="O6" s="590"/>
      <c r="P6" s="613" t="s">
        <v>49</v>
      </c>
      <c r="Q6" s="613"/>
      <c r="R6" s="614"/>
      <c r="S6" s="228"/>
      <c r="U6" s="229"/>
    </row>
    <row r="7" spans="1:21" s="203" customFormat="1" ht="68.25" customHeight="1" x14ac:dyDescent="0.25">
      <c r="A7" s="218"/>
      <c r="B7" s="227"/>
      <c r="C7" s="227"/>
      <c r="D7" s="357"/>
      <c r="E7" s="230"/>
      <c r="F7" s="230"/>
      <c r="G7" s="231"/>
      <c r="H7" s="218"/>
      <c r="I7" s="249"/>
      <c r="J7" s="232"/>
      <c r="K7" s="365"/>
      <c r="L7" s="233"/>
      <c r="M7" s="233"/>
      <c r="N7" s="233"/>
      <c r="O7" s="233"/>
      <c r="P7" s="234"/>
      <c r="R7" s="235"/>
      <c r="S7" s="228"/>
      <c r="U7" s="229"/>
    </row>
    <row r="8" spans="1:21" s="203" customFormat="1" ht="68.25" customHeight="1" x14ac:dyDescent="0.25">
      <c r="A8" s="570" t="s">
        <v>323</v>
      </c>
      <c r="B8" s="571"/>
      <c r="C8" s="583" t="s">
        <v>336</v>
      </c>
      <c r="D8" s="584"/>
      <c r="E8" s="584"/>
      <c r="F8" s="584"/>
      <c r="G8" s="585"/>
      <c r="H8" s="218"/>
      <c r="I8" s="586" t="s">
        <v>51</v>
      </c>
      <c r="J8" s="587"/>
      <c r="K8" s="588"/>
      <c r="L8" s="589" t="s">
        <v>408</v>
      </c>
      <c r="M8" s="590"/>
      <c r="N8" s="590"/>
      <c r="O8" s="590"/>
      <c r="P8" s="613" t="s">
        <v>49</v>
      </c>
      <c r="Q8" s="613"/>
      <c r="R8" s="614"/>
      <c r="S8" s="228"/>
      <c r="U8" s="229"/>
    </row>
    <row r="9" spans="1:21" s="203" customFormat="1" ht="68.25" customHeight="1" x14ac:dyDescent="0.25">
      <c r="A9" s="218"/>
      <c r="B9" s="227"/>
      <c r="C9" s="227"/>
      <c r="D9" s="357"/>
      <c r="E9" s="230"/>
      <c r="F9" s="230"/>
      <c r="G9" s="231"/>
      <c r="H9" s="218"/>
      <c r="I9" s="249"/>
      <c r="J9" s="232"/>
      <c r="K9" s="365"/>
      <c r="L9" s="236"/>
      <c r="M9" s="237"/>
      <c r="N9" s="237"/>
      <c r="O9" s="236"/>
      <c r="P9" s="237"/>
      <c r="R9" s="235"/>
      <c r="S9" s="228"/>
      <c r="U9" s="229"/>
    </row>
    <row r="10" spans="1:21" s="203" customFormat="1" ht="68.25" customHeight="1" x14ac:dyDescent="0.55000000000000004">
      <c r="A10" s="570" t="s">
        <v>324</v>
      </c>
      <c r="B10" s="571"/>
      <c r="C10" s="583" t="s">
        <v>134</v>
      </c>
      <c r="D10" s="584"/>
      <c r="E10" s="584"/>
      <c r="F10" s="584"/>
      <c r="G10" s="585"/>
      <c r="H10" s="238"/>
      <c r="I10" s="577" t="s">
        <v>155</v>
      </c>
      <c r="J10" s="577"/>
      <c r="K10" s="578"/>
      <c r="L10" s="572">
        <f>BEMSdar!$E$11</f>
        <v>17318.154749999998</v>
      </c>
      <c r="M10" s="573"/>
      <c r="N10" s="239"/>
      <c r="O10" s="240"/>
      <c r="P10" s="241"/>
      <c r="R10" s="235"/>
      <c r="S10" s="228"/>
      <c r="U10" s="229"/>
    </row>
    <row r="11" spans="1:21" s="203" customFormat="1" ht="68.25" customHeight="1" x14ac:dyDescent="0.25">
      <c r="A11" s="218"/>
      <c r="B11" s="227"/>
      <c r="C11" s="227"/>
      <c r="D11" s="357"/>
      <c r="E11" s="230"/>
      <c r="F11" s="230"/>
      <c r="G11" s="231"/>
      <c r="H11" s="218"/>
      <c r="I11" s="249"/>
      <c r="J11" s="232"/>
      <c r="K11" s="365"/>
      <c r="L11" s="242"/>
      <c r="M11" s="242"/>
      <c r="N11" s="237"/>
      <c r="O11" s="236"/>
      <c r="P11" s="237"/>
      <c r="R11" s="235"/>
      <c r="S11" s="228"/>
      <c r="U11" s="229"/>
    </row>
    <row r="12" spans="1:21" s="203" customFormat="1" ht="68.25" customHeight="1" x14ac:dyDescent="0.55000000000000004">
      <c r="A12" s="570" t="s">
        <v>325</v>
      </c>
      <c r="B12" s="571"/>
      <c r="C12" s="574">
        <v>46082</v>
      </c>
      <c r="D12" s="575"/>
      <c r="E12" s="575"/>
      <c r="F12" s="575"/>
      <c r="G12" s="576"/>
      <c r="H12" s="238"/>
      <c r="I12" s="577" t="s">
        <v>156</v>
      </c>
      <c r="J12" s="577"/>
      <c r="K12" s="578"/>
      <c r="L12" s="572">
        <f>BEMSdar!$E$13</f>
        <v>444.05525000000125</v>
      </c>
      <c r="M12" s="573"/>
      <c r="N12" s="239"/>
      <c r="O12" s="240"/>
      <c r="P12" s="241"/>
      <c r="R12" s="235"/>
      <c r="S12" s="228"/>
      <c r="U12" s="229"/>
    </row>
    <row r="13" spans="1:21" s="203" customFormat="1" ht="36" x14ac:dyDescent="0.25">
      <c r="A13" s="355"/>
      <c r="B13" s="357"/>
      <c r="C13" s="227"/>
      <c r="D13" s="357"/>
      <c r="E13" s="230"/>
      <c r="F13" s="230"/>
      <c r="G13" s="230"/>
      <c r="H13" s="355"/>
      <c r="I13" s="250"/>
      <c r="J13" s="243"/>
      <c r="K13" s="210"/>
      <c r="L13" s="204"/>
      <c r="M13" s="204"/>
      <c r="O13" s="208"/>
      <c r="P13" s="204"/>
      <c r="Q13" s="204"/>
      <c r="R13" s="235"/>
      <c r="S13" s="228"/>
      <c r="U13" s="229"/>
    </row>
    <row r="14" spans="1:21" s="244" customFormat="1" ht="36" x14ac:dyDescent="0.25">
      <c r="A14" s="356" t="s">
        <v>54</v>
      </c>
      <c r="B14" s="227"/>
      <c r="C14" s="227"/>
      <c r="D14" s="357"/>
      <c r="E14" s="230"/>
      <c r="F14" s="230"/>
      <c r="G14" s="227"/>
      <c r="H14" s="356"/>
      <c r="I14" s="250"/>
      <c r="J14" s="243"/>
      <c r="K14" s="210"/>
      <c r="L14" s="204"/>
      <c r="N14" s="203"/>
      <c r="O14" s="208"/>
      <c r="R14" s="245"/>
      <c r="S14" s="246"/>
      <c r="U14" s="229"/>
    </row>
    <row r="15" spans="1:21" s="244" customFormat="1" ht="36" x14ac:dyDescent="0.25">
      <c r="A15" s="356" t="s">
        <v>55</v>
      </c>
      <c r="B15" s="227"/>
      <c r="C15" s="227"/>
      <c r="D15" s="357"/>
      <c r="E15" s="230"/>
      <c r="F15" s="230"/>
      <c r="G15" s="227"/>
      <c r="H15" s="356"/>
      <c r="I15" s="250"/>
      <c r="J15" s="243"/>
      <c r="K15" s="210"/>
      <c r="L15" s="204"/>
      <c r="N15" s="203"/>
      <c r="O15" s="208"/>
      <c r="R15" s="245"/>
      <c r="S15" s="246"/>
      <c r="U15" s="229"/>
    </row>
    <row r="16" spans="1:21" s="244" customFormat="1" ht="36" x14ac:dyDescent="0.25">
      <c r="A16" s="356" t="s">
        <v>56</v>
      </c>
      <c r="B16" s="227"/>
      <c r="C16" s="227"/>
      <c r="D16" s="357"/>
      <c r="E16" s="230"/>
      <c r="F16" s="230"/>
      <c r="G16" s="227"/>
      <c r="H16" s="356"/>
      <c r="I16" s="250"/>
      <c r="J16" s="243"/>
      <c r="K16" s="210"/>
      <c r="L16" s="204"/>
      <c r="N16" s="203"/>
      <c r="O16" s="208"/>
      <c r="R16" s="245"/>
      <c r="S16" s="246"/>
      <c r="U16" s="229"/>
    </row>
    <row r="17" spans="1:21" s="244" customFormat="1" ht="36" x14ac:dyDescent="0.25">
      <c r="A17" s="356" t="s">
        <v>57</v>
      </c>
      <c r="B17" s="227"/>
      <c r="C17" s="227"/>
      <c r="D17" s="357"/>
      <c r="E17" s="230"/>
      <c r="F17" s="230"/>
      <c r="G17" s="227"/>
      <c r="H17" s="356"/>
      <c r="I17" s="250"/>
      <c r="J17" s="243"/>
      <c r="K17" s="210"/>
      <c r="L17" s="204"/>
      <c r="N17" s="203"/>
      <c r="O17" s="208"/>
      <c r="R17" s="245"/>
      <c r="S17" s="246"/>
      <c r="U17" s="229"/>
    </row>
    <row r="18" spans="1:21" s="244" customFormat="1" ht="36" x14ac:dyDescent="0.25">
      <c r="A18" s="356" t="s">
        <v>58</v>
      </c>
      <c r="B18" s="227"/>
      <c r="C18" s="227"/>
      <c r="D18" s="357"/>
      <c r="E18" s="230"/>
      <c r="F18" s="230"/>
      <c r="G18" s="227"/>
      <c r="H18" s="356"/>
      <c r="I18" s="250"/>
      <c r="J18" s="243"/>
      <c r="K18" s="210"/>
      <c r="L18" s="204"/>
      <c r="N18" s="203"/>
      <c r="O18" s="208"/>
      <c r="R18" s="245"/>
      <c r="S18" s="246"/>
      <c r="U18" s="229"/>
    </row>
    <row r="19" spans="1:21" s="244" customFormat="1" ht="36" x14ac:dyDescent="0.25">
      <c r="A19" s="356" t="s">
        <v>59</v>
      </c>
      <c r="B19" s="227"/>
      <c r="C19" s="227"/>
      <c r="D19" s="357"/>
      <c r="E19" s="230"/>
      <c r="F19" s="230"/>
      <c r="G19" s="227"/>
      <c r="H19" s="356"/>
      <c r="I19" s="250"/>
      <c r="J19" s="243"/>
      <c r="K19" s="210"/>
      <c r="L19" s="204"/>
      <c r="N19" s="203"/>
      <c r="O19" s="208"/>
      <c r="R19" s="245"/>
      <c r="S19" s="246"/>
      <c r="U19" s="229"/>
    </row>
    <row r="20" spans="1:21" x14ac:dyDescent="0.25">
      <c r="A20" s="161"/>
      <c r="B20" s="162"/>
      <c r="C20" s="163"/>
      <c r="D20" s="164"/>
      <c r="E20" s="150"/>
      <c r="F20" s="165"/>
      <c r="G20" s="165"/>
      <c r="H20" s="37"/>
      <c r="I20" s="251"/>
      <c r="J20" s="150"/>
      <c r="K20" s="166"/>
    </row>
    <row r="21" spans="1:21" s="247" customFormat="1" ht="60" customHeight="1" x14ac:dyDescent="0.25">
      <c r="A21" s="596" t="s">
        <v>31</v>
      </c>
      <c r="B21" s="597" t="s">
        <v>61</v>
      </c>
      <c r="C21" s="608" t="s">
        <v>62</v>
      </c>
      <c r="D21" s="608" t="s">
        <v>63</v>
      </c>
      <c r="E21" s="597" t="s">
        <v>64</v>
      </c>
      <c r="F21" s="596" t="s">
        <v>65</v>
      </c>
      <c r="G21" s="596" t="s">
        <v>66</v>
      </c>
      <c r="H21" s="607" t="s">
        <v>67</v>
      </c>
      <c r="I21" s="606" t="s">
        <v>68</v>
      </c>
      <c r="J21" s="607" t="s">
        <v>69</v>
      </c>
      <c r="K21" s="607" t="s">
        <v>70</v>
      </c>
      <c r="L21" s="602" t="s">
        <v>71</v>
      </c>
      <c r="M21" s="603" t="s">
        <v>72</v>
      </c>
      <c r="N21" s="604"/>
      <c r="O21" s="605"/>
      <c r="P21" s="598" t="s">
        <v>73</v>
      </c>
      <c r="Q21" s="599"/>
      <c r="R21" s="600"/>
      <c r="S21" s="599"/>
      <c r="T21" s="599"/>
      <c r="U21" s="601"/>
    </row>
    <row r="22" spans="1:21" s="247" customFormat="1" ht="165" x14ac:dyDescent="0.25">
      <c r="A22" s="596"/>
      <c r="B22" s="597"/>
      <c r="C22" s="609"/>
      <c r="D22" s="609"/>
      <c r="E22" s="597"/>
      <c r="F22" s="596"/>
      <c r="G22" s="596"/>
      <c r="H22" s="607"/>
      <c r="I22" s="606"/>
      <c r="J22" s="607"/>
      <c r="K22" s="607"/>
      <c r="L22" s="602"/>
      <c r="M22" s="361" t="s">
        <v>74</v>
      </c>
      <c r="N22" s="361" t="s">
        <v>75</v>
      </c>
      <c r="O22" s="361" t="s">
        <v>79</v>
      </c>
      <c r="P22" s="361" t="s">
        <v>74</v>
      </c>
      <c r="Q22" s="361" t="s">
        <v>76</v>
      </c>
      <c r="R22" s="364" t="s">
        <v>77</v>
      </c>
      <c r="S22" s="363" t="s">
        <v>78</v>
      </c>
      <c r="T22" s="362" t="s">
        <v>75</v>
      </c>
      <c r="U22" s="248" t="s">
        <v>79</v>
      </c>
    </row>
    <row r="23" spans="1:21" s="149" customFormat="1" ht="60" customHeight="1" x14ac:dyDescent="0.25">
      <c r="A23" s="186" t="s">
        <v>296</v>
      </c>
      <c r="B23" s="187"/>
      <c r="C23" s="187"/>
      <c r="D23" s="187"/>
      <c r="E23" s="188"/>
      <c r="F23" s="189"/>
      <c r="G23" s="187"/>
      <c r="H23" s="187"/>
      <c r="I23" s="252"/>
      <c r="J23" s="190"/>
      <c r="K23" s="190"/>
      <c r="L23" s="187"/>
      <c r="M23" s="187"/>
      <c r="N23" s="187"/>
      <c r="O23" s="187"/>
      <c r="P23" s="187"/>
      <c r="Q23" s="187"/>
      <c r="R23" s="191"/>
      <c r="S23" s="187"/>
      <c r="T23" s="187"/>
      <c r="U23" s="192"/>
    </row>
    <row r="24" spans="1:21" s="149" customFormat="1" ht="121.5" customHeight="1" x14ac:dyDescent="0.25">
      <c r="A24" s="193">
        <v>1</v>
      </c>
      <c r="B24" s="198" t="s">
        <v>424</v>
      </c>
      <c r="C24" s="195" t="s">
        <v>422</v>
      </c>
      <c r="D24" s="405">
        <v>29500</v>
      </c>
      <c r="E24" s="196" t="s">
        <v>413</v>
      </c>
      <c r="F24" s="197" t="s">
        <v>395</v>
      </c>
      <c r="G24" s="198" t="s">
        <v>415</v>
      </c>
      <c r="H24" s="199" t="s">
        <v>133</v>
      </c>
      <c r="I24" s="254">
        <v>5.0069444444444446</v>
      </c>
      <c r="J24" s="354">
        <v>46097</v>
      </c>
      <c r="K24" s="354">
        <v>46107</v>
      </c>
      <c r="L24" s="406">
        <f>IF(D24&gt;44999.99,100,ROUNDUP((D24/4999.99)*10,-1))</f>
        <v>60</v>
      </c>
      <c r="M24" s="193" t="s">
        <v>133</v>
      </c>
      <c r="N24" s="407">
        <f>IF(M24="Y",L24,0)</f>
        <v>0</v>
      </c>
      <c r="O24" s="193"/>
      <c r="P24" s="193" t="s">
        <v>133</v>
      </c>
      <c r="Q24" s="408">
        <f>K24-J24+1</f>
        <v>11</v>
      </c>
      <c r="R24" s="409">
        <f t="shared" ref="R24:R27" si="0">WORKDAY(J24,6,tarikhcuti)</f>
        <v>46107</v>
      </c>
      <c r="S24" s="200">
        <f>IF(K24&gt;R24,K24-R24,0)</f>
        <v>0</v>
      </c>
      <c r="T24" s="410">
        <f>L24*S24</f>
        <v>0</v>
      </c>
      <c r="U24" s="201" t="s">
        <v>352</v>
      </c>
    </row>
    <row r="25" spans="1:21" s="149" customFormat="1" ht="128.25" customHeight="1" x14ac:dyDescent="0.25">
      <c r="A25" s="193">
        <f>A24+1</f>
        <v>2</v>
      </c>
      <c r="B25" s="194" t="s">
        <v>416</v>
      </c>
      <c r="C25" s="195" t="s">
        <v>423</v>
      </c>
      <c r="D25" s="405">
        <v>40000</v>
      </c>
      <c r="E25" s="196" t="s">
        <v>409</v>
      </c>
      <c r="F25" s="197" t="s">
        <v>420</v>
      </c>
      <c r="G25" s="198" t="s">
        <v>418</v>
      </c>
      <c r="H25" s="199" t="s">
        <v>133</v>
      </c>
      <c r="I25" s="254">
        <v>5.0083333333333337</v>
      </c>
      <c r="J25" s="354">
        <v>46097</v>
      </c>
      <c r="K25" s="354">
        <v>46107</v>
      </c>
      <c r="L25" s="406">
        <f>IF(D25&gt;44999.99,100,ROUNDUP((D25/4999.99)*10,-1))</f>
        <v>90</v>
      </c>
      <c r="M25" s="193" t="s">
        <v>133</v>
      </c>
      <c r="N25" s="407">
        <f>IF(M25="Y",L25,0)</f>
        <v>0</v>
      </c>
      <c r="O25" s="193"/>
      <c r="P25" s="193" t="s">
        <v>133</v>
      </c>
      <c r="Q25" s="408">
        <f>K25-J25+1</f>
        <v>11</v>
      </c>
      <c r="R25" s="409">
        <f t="shared" si="0"/>
        <v>46107</v>
      </c>
      <c r="S25" s="200">
        <f>IF(K25&gt;R25,K25-R25,0)</f>
        <v>0</v>
      </c>
      <c r="T25" s="410">
        <f>L25*S25</f>
        <v>0</v>
      </c>
      <c r="U25" s="201" t="s">
        <v>352</v>
      </c>
    </row>
    <row r="26" spans="1:21" s="149" customFormat="1" ht="118.5" customHeight="1" x14ac:dyDescent="0.25">
      <c r="A26" s="193">
        <f t="shared" ref="A26:A27" si="1">A25+1</f>
        <v>3</v>
      </c>
      <c r="B26" s="194" t="s">
        <v>414</v>
      </c>
      <c r="C26" s="195" t="s">
        <v>421</v>
      </c>
      <c r="D26" s="405">
        <v>65000</v>
      </c>
      <c r="E26" s="196" t="s">
        <v>410</v>
      </c>
      <c r="F26" s="197" t="s">
        <v>420</v>
      </c>
      <c r="G26" s="198" t="s">
        <v>419</v>
      </c>
      <c r="H26" s="199" t="s">
        <v>133</v>
      </c>
      <c r="I26" s="254">
        <v>5.0069444444444446</v>
      </c>
      <c r="J26" s="354">
        <v>46107</v>
      </c>
      <c r="K26" s="354">
        <v>46107</v>
      </c>
      <c r="L26" s="406">
        <f t="shared" ref="L26:L27" si="2">IF(D26&gt;44999.99,100,ROUNDUP((D26/4999.99)*10,-1))</f>
        <v>100</v>
      </c>
      <c r="M26" s="193" t="s">
        <v>133</v>
      </c>
      <c r="N26" s="407">
        <f t="shared" ref="N26:N27" si="3">IF(M26="Y",L26,0)</f>
        <v>0</v>
      </c>
      <c r="O26" s="193"/>
      <c r="P26" s="193" t="s">
        <v>133</v>
      </c>
      <c r="Q26" s="408">
        <f t="shared" ref="Q26:Q27" si="4">K26-J26+1</f>
        <v>1</v>
      </c>
      <c r="R26" s="409">
        <f t="shared" si="0"/>
        <v>46115</v>
      </c>
      <c r="S26" s="200">
        <f t="shared" ref="S26:S27" si="5">IF(K26&gt;R26,K26-R26,0)</f>
        <v>0</v>
      </c>
      <c r="T26" s="410">
        <f t="shared" ref="T26:T27" si="6">L26*S26</f>
        <v>0</v>
      </c>
      <c r="U26" s="201" t="s">
        <v>352</v>
      </c>
    </row>
    <row r="27" spans="1:21" s="149" customFormat="1" ht="118.5" customHeight="1" x14ac:dyDescent="0.25">
      <c r="A27" s="193">
        <f t="shared" si="1"/>
        <v>4</v>
      </c>
      <c r="B27" s="194" t="s">
        <v>412</v>
      </c>
      <c r="C27" s="195" t="s">
        <v>388</v>
      </c>
      <c r="D27" s="405">
        <v>75015.73</v>
      </c>
      <c r="E27" s="196" t="s">
        <v>411</v>
      </c>
      <c r="F27" s="197" t="s">
        <v>420</v>
      </c>
      <c r="G27" s="198" t="s">
        <v>417</v>
      </c>
      <c r="H27" s="199" t="s">
        <v>133</v>
      </c>
      <c r="I27" s="254">
        <v>5.0020833333333332</v>
      </c>
      <c r="J27" s="354">
        <v>46108</v>
      </c>
      <c r="K27" s="354">
        <v>46108</v>
      </c>
      <c r="L27" s="406">
        <f t="shared" si="2"/>
        <v>100</v>
      </c>
      <c r="M27" s="193" t="s">
        <v>133</v>
      </c>
      <c r="N27" s="407">
        <f t="shared" si="3"/>
        <v>0</v>
      </c>
      <c r="O27" s="193"/>
      <c r="P27" s="193" t="s">
        <v>133</v>
      </c>
      <c r="Q27" s="408">
        <f t="shared" si="4"/>
        <v>1</v>
      </c>
      <c r="R27" s="409">
        <f t="shared" si="0"/>
        <v>46118</v>
      </c>
      <c r="S27" s="200">
        <f t="shared" si="5"/>
        <v>0</v>
      </c>
      <c r="T27" s="410">
        <f t="shared" si="6"/>
        <v>0</v>
      </c>
      <c r="U27" s="201" t="s">
        <v>352</v>
      </c>
    </row>
    <row r="28" spans="1:21" s="149" customFormat="1" ht="133.5" customHeight="1" x14ac:dyDescent="0.25">
      <c r="A28" s="376"/>
      <c r="B28" s="217"/>
      <c r="C28" s="229"/>
      <c r="D28" s="375"/>
      <c r="E28" s="390"/>
      <c r="F28" s="391"/>
      <c r="G28" s="229"/>
      <c r="H28" s="229"/>
      <c r="I28" s="229"/>
      <c r="J28" s="229"/>
      <c r="K28" s="393"/>
      <c r="L28" s="393"/>
      <c r="M28" s="393"/>
      <c r="N28" s="393"/>
      <c r="O28" s="393"/>
      <c r="P28" s="393"/>
      <c r="Q28" s="393"/>
      <c r="R28" s="393"/>
      <c r="S28" s="393"/>
      <c r="T28" s="393"/>
      <c r="U28" s="378"/>
    </row>
    <row r="29" spans="1:21" s="173" customFormat="1" ht="60" customHeight="1" x14ac:dyDescent="0.25">
      <c r="A29" s="379" t="s">
        <v>297</v>
      </c>
      <c r="B29" s="380"/>
      <c r="C29" s="380"/>
      <c r="D29" s="380"/>
      <c r="E29" s="381"/>
      <c r="F29" s="381"/>
      <c r="G29" s="380"/>
      <c r="H29" s="380"/>
      <c r="I29" s="380"/>
      <c r="J29" s="382"/>
      <c r="K29" s="382"/>
      <c r="L29" s="382"/>
      <c r="M29" s="380"/>
      <c r="N29" s="380"/>
      <c r="O29" s="380"/>
      <c r="P29" s="380"/>
      <c r="Q29" s="380"/>
      <c r="R29" s="380"/>
      <c r="S29" s="380"/>
      <c r="T29" s="380"/>
      <c r="U29" s="383"/>
    </row>
    <row r="30" spans="1:21" s="149" customFormat="1" ht="138" x14ac:dyDescent="0.25">
      <c r="A30" s="193">
        <v>1</v>
      </c>
      <c r="B30" s="466" t="s">
        <v>393</v>
      </c>
      <c r="C30" s="195" t="s">
        <v>397</v>
      </c>
      <c r="D30" s="467">
        <v>49500</v>
      </c>
      <c r="E30" s="468" t="s">
        <v>389</v>
      </c>
      <c r="F30" s="199" t="s">
        <v>396</v>
      </c>
      <c r="G30" s="195" t="s">
        <v>401</v>
      </c>
      <c r="H30" s="199" t="s">
        <v>133</v>
      </c>
      <c r="I30" s="254">
        <v>5.010416666666667</v>
      </c>
      <c r="J30" s="354">
        <v>46082</v>
      </c>
      <c r="K30" s="354">
        <v>46112</v>
      </c>
      <c r="L30" s="406">
        <f t="shared" ref="L30" si="7">IF(D30&gt;44999.99,100,ROUNDUP((D30/4999.99)*10,-1))</f>
        <v>100</v>
      </c>
      <c r="M30" s="193" t="s">
        <v>133</v>
      </c>
      <c r="N30" s="407">
        <f t="shared" ref="N30" si="8">IF(M30="Y",L30,0)</f>
        <v>0</v>
      </c>
      <c r="O30" s="193"/>
      <c r="P30" s="193" t="s">
        <v>133</v>
      </c>
      <c r="Q30" s="408">
        <f t="shared" ref="Q30" si="9">K30-J30+1</f>
        <v>31</v>
      </c>
      <c r="R30" s="409">
        <f t="shared" ref="R30" si="10">WORKDAY(J30,6,tarikhcuti)</f>
        <v>46090</v>
      </c>
      <c r="S30" s="200">
        <f t="shared" ref="S30" si="11">IF(K30&gt;R30,K30-R30,0)</f>
        <v>22</v>
      </c>
      <c r="T30" s="410">
        <f t="shared" ref="T30" si="12">L30*S30</f>
        <v>2200</v>
      </c>
      <c r="U30" s="201" t="s">
        <v>352</v>
      </c>
    </row>
    <row r="31" spans="1:21" s="149" customFormat="1" ht="133.5" customHeight="1" x14ac:dyDescent="0.25">
      <c r="A31" s="615"/>
      <c r="B31" s="616"/>
      <c r="C31" s="616"/>
      <c r="D31" s="616"/>
      <c r="E31" s="616"/>
      <c r="F31" s="616"/>
      <c r="G31" s="616"/>
      <c r="H31" s="616"/>
      <c r="I31" s="616"/>
      <c r="J31" s="616"/>
      <c r="K31" s="616"/>
      <c r="L31" s="616"/>
      <c r="M31" s="616"/>
      <c r="N31" s="616"/>
      <c r="O31" s="616"/>
      <c r="P31" s="616"/>
      <c r="Q31" s="616"/>
      <c r="R31" s="616"/>
      <c r="S31" s="616"/>
      <c r="T31" s="616"/>
      <c r="U31" s="617"/>
    </row>
    <row r="32" spans="1:21" s="149" customFormat="1" ht="133.5" customHeight="1" x14ac:dyDescent="0.25">
      <c r="A32" s="610"/>
      <c r="B32" s="611"/>
      <c r="C32" s="611"/>
      <c r="D32" s="611"/>
      <c r="E32" s="611"/>
      <c r="F32" s="611"/>
      <c r="G32" s="611"/>
      <c r="H32" s="611"/>
      <c r="I32" s="611"/>
      <c r="J32" s="611"/>
      <c r="K32" s="611"/>
      <c r="L32" s="611"/>
      <c r="M32" s="611"/>
      <c r="N32" s="611"/>
      <c r="O32" s="611"/>
      <c r="P32" s="611"/>
      <c r="Q32" s="611"/>
      <c r="R32" s="611"/>
      <c r="S32" s="611"/>
      <c r="T32" s="611"/>
      <c r="U32" s="612"/>
    </row>
    <row r="33" spans="1:21" s="149" customFormat="1" ht="118.5" customHeight="1" x14ac:dyDescent="0.25">
      <c r="A33" s="193">
        <v>1</v>
      </c>
      <c r="B33" s="466" t="s">
        <v>346</v>
      </c>
      <c r="C33" s="195" t="s">
        <v>397</v>
      </c>
      <c r="D33" s="467">
        <v>49950</v>
      </c>
      <c r="E33" s="468" t="s">
        <v>390</v>
      </c>
      <c r="F33" s="199" t="s">
        <v>395</v>
      </c>
      <c r="G33" s="195" t="s">
        <v>402</v>
      </c>
      <c r="H33" s="199" t="s">
        <v>133</v>
      </c>
      <c r="I33" s="254">
        <v>5.0083333333333337</v>
      </c>
      <c r="J33" s="354">
        <v>46079</v>
      </c>
      <c r="K33" s="354">
        <v>46084</v>
      </c>
      <c r="L33" s="406">
        <f t="shared" ref="L33" si="13">IF(D33&gt;44999.99,100,ROUNDUP((D33/4999.99)*10,-1))</f>
        <v>100</v>
      </c>
      <c r="M33" s="193" t="s">
        <v>133</v>
      </c>
      <c r="N33" s="407">
        <f t="shared" ref="N33" si="14">IF(M33="Y",L33,0)</f>
        <v>0</v>
      </c>
      <c r="O33" s="193"/>
      <c r="P33" s="193" t="s">
        <v>133</v>
      </c>
      <c r="Q33" s="408">
        <f t="shared" ref="Q33" si="15">K33-J33+1</f>
        <v>6</v>
      </c>
      <c r="R33" s="409">
        <f t="shared" ref="R33" si="16">WORKDAY(J33,6,tarikhcuti)</f>
        <v>46087</v>
      </c>
      <c r="S33" s="200">
        <f t="shared" ref="S33" si="17">IF(K33&gt;R33,K33-R33,0)</f>
        <v>0</v>
      </c>
      <c r="T33" s="410">
        <f t="shared" ref="T33" si="18">L33*S33</f>
        <v>0</v>
      </c>
      <c r="U33" s="201" t="s">
        <v>352</v>
      </c>
    </row>
    <row r="34" spans="1:21" s="148" customFormat="1" ht="118.5" customHeight="1" x14ac:dyDescent="0.25">
      <c r="A34" s="376"/>
      <c r="B34" s="217"/>
      <c r="C34" s="229"/>
      <c r="D34" s="389"/>
      <c r="E34" s="390"/>
      <c r="F34" s="391"/>
      <c r="G34" s="229"/>
      <c r="H34" s="391"/>
      <c r="I34" s="392"/>
      <c r="J34" s="393"/>
      <c r="K34" s="393"/>
      <c r="L34" s="394"/>
      <c r="M34" s="376"/>
      <c r="N34" s="396"/>
      <c r="O34" s="376"/>
      <c r="P34" s="376"/>
      <c r="Q34" s="377"/>
      <c r="R34" s="397"/>
      <c r="S34" s="377"/>
      <c r="T34" s="395"/>
      <c r="U34" s="378"/>
    </row>
    <row r="35" spans="1:21" s="148" customFormat="1" ht="116.1" customHeight="1" x14ac:dyDescent="0.25">
      <c r="A35" s="384" t="s">
        <v>298</v>
      </c>
      <c r="B35" s="371"/>
      <c r="C35" s="371"/>
      <c r="D35" s="371"/>
      <c r="E35" s="385"/>
      <c r="F35" s="372"/>
      <c r="G35" s="371"/>
      <c r="H35" s="371"/>
      <c r="I35" s="386"/>
      <c r="J35" s="373"/>
      <c r="K35" s="373"/>
      <c r="L35" s="371"/>
      <c r="M35" s="371"/>
      <c r="N35" s="371"/>
      <c r="O35" s="371"/>
      <c r="P35" s="371"/>
      <c r="Q35" s="371"/>
      <c r="R35" s="374"/>
      <c r="S35" s="387"/>
      <c r="T35" s="399"/>
      <c r="U35" s="388"/>
    </row>
    <row r="36" spans="1:21" s="398" customFormat="1" ht="99.95" customHeight="1" x14ac:dyDescent="0.25">
      <c r="A36" s="193"/>
      <c r="B36" s="195"/>
      <c r="C36" s="195"/>
      <c r="D36" s="411"/>
      <c r="E36" s="404"/>
      <c r="F36" s="197"/>
      <c r="G36" s="404"/>
      <c r="H36" s="199"/>
      <c r="I36" s="254"/>
      <c r="J36" s="354"/>
      <c r="K36" s="354"/>
      <c r="L36" s="406"/>
      <c r="M36" s="193"/>
      <c r="N36" s="407"/>
      <c r="O36" s="193"/>
      <c r="P36" s="193"/>
      <c r="Q36" s="408"/>
      <c r="R36" s="409"/>
      <c r="S36" s="200"/>
      <c r="T36" s="410"/>
      <c r="U36" s="201"/>
    </row>
    <row r="37" spans="1:21" s="174" customFormat="1" ht="51.75" customHeight="1" x14ac:dyDescent="0.25">
      <c r="A37" s="591" t="s">
        <v>80</v>
      </c>
      <c r="B37" s="592"/>
      <c r="C37" s="592"/>
      <c r="D37" s="592"/>
      <c r="E37" s="592"/>
      <c r="F37" s="592"/>
      <c r="G37" s="592"/>
      <c r="H37" s="592"/>
      <c r="I37" s="592"/>
      <c r="J37" s="592"/>
      <c r="K37" s="592"/>
      <c r="L37" s="592"/>
      <c r="M37" s="593"/>
      <c r="N37" s="400">
        <f>SUM(N29:N35)</f>
        <v>0</v>
      </c>
      <c r="O37" s="594" t="s">
        <v>81</v>
      </c>
      <c r="P37" s="594"/>
      <c r="Q37" s="594"/>
      <c r="R37" s="595"/>
      <c r="S37" s="594"/>
      <c r="T37" s="400">
        <f>SUM(T25:T36)</f>
        <v>2200</v>
      </c>
      <c r="U37" s="202"/>
    </row>
    <row r="38" spans="1:21" ht="36" x14ac:dyDescent="0.25">
      <c r="A38" s="204"/>
      <c r="B38" s="205"/>
      <c r="C38" s="206"/>
      <c r="D38" s="207"/>
      <c r="E38" s="208"/>
      <c r="F38" s="204"/>
      <c r="G38" s="205"/>
      <c r="H38" s="209"/>
      <c r="I38" s="250"/>
      <c r="J38" s="210">
        <v>43718.368055555555</v>
      </c>
      <c r="K38" s="210">
        <v>43738.999305555553</v>
      </c>
      <c r="L38" s="211">
        <f>K38-J38</f>
        <v>20.631249999998545</v>
      </c>
      <c r="M38" s="212">
        <f>(8760-495)/8760</f>
        <v>0.94349315068493156</v>
      </c>
      <c r="N38" s="213"/>
      <c r="O38" s="214"/>
      <c r="P38" s="215"/>
      <c r="Q38" s="213"/>
      <c r="R38" s="216"/>
      <c r="S38" s="203"/>
      <c r="T38" s="203"/>
      <c r="U38" s="217"/>
    </row>
    <row r="39" spans="1:21" x14ac:dyDescent="0.25">
      <c r="F39" s="167"/>
      <c r="H39" s="178"/>
      <c r="J39" s="179"/>
      <c r="L39" s="169"/>
      <c r="O39" s="180"/>
      <c r="P39" s="171"/>
      <c r="Q39" s="168"/>
      <c r="R39" s="181"/>
      <c r="S39" s="168"/>
      <c r="U39" s="182"/>
    </row>
    <row r="40" spans="1:21" x14ac:dyDescent="0.25">
      <c r="F40" s="167"/>
      <c r="H40" s="178"/>
      <c r="J40" s="179"/>
      <c r="L40" s="169"/>
      <c r="O40" s="180"/>
      <c r="P40" s="171"/>
      <c r="Q40" s="168"/>
      <c r="R40" s="181"/>
      <c r="S40" s="168"/>
      <c r="U40" s="182"/>
    </row>
    <row r="41" spans="1:21" x14ac:dyDescent="0.25">
      <c r="G41" s="169"/>
      <c r="J41" s="179"/>
      <c r="M41" s="168"/>
      <c r="N41" s="175"/>
      <c r="O41" s="167"/>
      <c r="Q41" s="180"/>
      <c r="S41" s="168"/>
      <c r="T41" s="175"/>
      <c r="U41" s="182"/>
    </row>
    <row r="42" spans="1:21" x14ac:dyDescent="0.25">
      <c r="G42" s="169"/>
      <c r="J42" s="179"/>
      <c r="M42" s="168"/>
      <c r="N42" s="175"/>
      <c r="O42" s="167"/>
      <c r="Q42" s="180"/>
      <c r="S42" s="168"/>
      <c r="T42" s="175"/>
      <c r="U42" s="182"/>
    </row>
    <row r="43" spans="1:21" x14ac:dyDescent="0.25">
      <c r="A43" s="168"/>
      <c r="D43" s="183"/>
      <c r="J43" s="179"/>
      <c r="M43" s="168"/>
      <c r="O43" s="168"/>
      <c r="P43" s="168"/>
      <c r="Q43" s="168"/>
      <c r="S43" s="168"/>
      <c r="U43" s="182"/>
    </row>
    <row r="44" spans="1:21" x14ac:dyDescent="0.25">
      <c r="G44" s="169"/>
      <c r="J44" s="179"/>
      <c r="M44" s="168"/>
      <c r="N44" s="175"/>
      <c r="O44" s="167"/>
      <c r="Q44" s="180"/>
      <c r="S44" s="168"/>
      <c r="T44" s="175"/>
      <c r="U44" s="182"/>
    </row>
  </sheetData>
  <autoFilter ref="A22:U38" xr:uid="{00000000-0009-0000-0000-000003000000}"/>
  <mergeCells count="40">
    <mergeCell ref="P6:R6"/>
    <mergeCell ref="D21:D22"/>
    <mergeCell ref="A31:U31"/>
    <mergeCell ref="P8:R8"/>
    <mergeCell ref="H21:H22"/>
    <mergeCell ref="I10:K10"/>
    <mergeCell ref="L8:O8"/>
    <mergeCell ref="E21:E22"/>
    <mergeCell ref="G21:G22"/>
    <mergeCell ref="C8:G8"/>
    <mergeCell ref="I8:K8"/>
    <mergeCell ref="A37:M37"/>
    <mergeCell ref="O37:S37"/>
    <mergeCell ref="F21:F22"/>
    <mergeCell ref="A21:A22"/>
    <mergeCell ref="B21:B22"/>
    <mergeCell ref="P21:U21"/>
    <mergeCell ref="L21:L22"/>
    <mergeCell ref="M21:O21"/>
    <mergeCell ref="I21:I22"/>
    <mergeCell ref="J21:J22"/>
    <mergeCell ref="K21:K22"/>
    <mergeCell ref="C21:C22"/>
    <mergeCell ref="A32:U32"/>
    <mergeCell ref="A1:U1"/>
    <mergeCell ref="A6:B6"/>
    <mergeCell ref="A8:B8"/>
    <mergeCell ref="A10:B10"/>
    <mergeCell ref="A12:B12"/>
    <mergeCell ref="L12:M12"/>
    <mergeCell ref="C12:G12"/>
    <mergeCell ref="I12:K12"/>
    <mergeCell ref="B2:U2"/>
    <mergeCell ref="B3:U3"/>
    <mergeCell ref="B4:U4"/>
    <mergeCell ref="C6:G6"/>
    <mergeCell ref="C10:G10"/>
    <mergeCell ref="L10:M10"/>
    <mergeCell ref="I6:K6"/>
    <mergeCell ref="L6:O6"/>
  </mergeCells>
  <phoneticPr fontId="79" type="noConversion"/>
  <printOptions horizontalCentered="1"/>
  <pageMargins left="0.31496062992125984" right="0.11811023622047245" top="0.31496062992125984" bottom="0.15748031496062992" header="0.31496062992125984" footer="0.15748031496062992"/>
  <pageSetup paperSize="9" scale="16" orientation="landscape" r:id="rId1"/>
  <rowBreaks count="1" manualBreakCount="1">
    <brk id="28"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4</xdr:col>
                <xdr:colOff>0</xdr:colOff>
                <xdr:row>1</xdr:row>
                <xdr:rowOff>0</xdr:rowOff>
              </from>
              <to>
                <xdr:col>4</xdr:col>
                <xdr:colOff>0</xdr:colOff>
                <xdr:row>1</xdr:row>
                <xdr:rowOff>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pageSetUpPr fitToPage="1"/>
  </sheetPr>
  <dimension ref="A1:M65"/>
  <sheetViews>
    <sheetView tabSelected="1" view="pageBreakPreview" topLeftCell="A51" zoomScale="50" zoomScaleNormal="60" zoomScaleSheetLayoutView="50" workbookViewId="0">
      <selection activeCell="C57" sqref="C57"/>
    </sheetView>
  </sheetViews>
  <sheetFormatPr defaultColWidth="9.140625" defaultRowHeight="59.25" customHeight="1" x14ac:dyDescent="0.25"/>
  <cols>
    <col min="1" max="1" width="14.85546875" style="154" customWidth="1"/>
    <col min="2" max="2" width="22.7109375" style="154" bestFit="1" customWidth="1"/>
    <col min="3" max="3" width="46.42578125" style="154" bestFit="1" customWidth="1"/>
    <col min="4" max="4" width="29.7109375" style="351" customWidth="1"/>
    <col min="5" max="5" width="22.140625" style="154" customWidth="1"/>
    <col min="6" max="6" width="21.5703125" style="160" customWidth="1"/>
    <col min="7" max="7" width="20.7109375" style="160" customWidth="1"/>
    <col min="8" max="8" width="21.42578125" style="154" customWidth="1"/>
    <col min="9" max="9" width="21.7109375" style="160" customWidth="1"/>
    <col min="10" max="10" width="12.7109375" style="154" customWidth="1"/>
    <col min="11" max="11" width="17.140625" style="352" customWidth="1"/>
    <col min="12" max="12" width="21.85546875" style="154" customWidth="1"/>
    <col min="13" max="13" width="51.42578125" style="154" customWidth="1"/>
    <col min="14" max="16384" width="9.140625" style="154"/>
  </cols>
  <sheetData>
    <row r="1" spans="1:13" ht="27" hidden="1" customHeight="1" x14ac:dyDescent="0.25">
      <c r="A1" s="368"/>
      <c r="B1" s="622"/>
      <c r="C1" s="622"/>
      <c r="D1" s="622"/>
      <c r="E1" s="622"/>
      <c r="F1" s="622"/>
      <c r="G1" s="622"/>
      <c r="H1" s="622"/>
      <c r="I1" s="622"/>
      <c r="J1" s="622"/>
      <c r="K1" s="622"/>
      <c r="L1" s="622"/>
      <c r="M1" s="368"/>
    </row>
    <row r="2" spans="1:13" ht="69" customHeight="1" x14ac:dyDescent="0.25">
      <c r="A2" s="622"/>
      <c r="B2" s="622"/>
      <c r="C2" s="622"/>
      <c r="D2" s="622"/>
      <c r="E2" s="622"/>
      <c r="F2" s="622"/>
      <c r="G2" s="622"/>
      <c r="H2" s="622"/>
      <c r="I2" s="622"/>
      <c r="J2" s="622"/>
      <c r="K2" s="622"/>
      <c r="L2" s="622"/>
      <c r="M2" s="622"/>
    </row>
    <row r="3" spans="1:13" ht="27" customHeight="1" x14ac:dyDescent="0.25">
      <c r="A3" s="622" t="s">
        <v>45</v>
      </c>
      <c r="B3" s="622"/>
      <c r="C3" s="622"/>
      <c r="D3" s="622"/>
      <c r="E3" s="622"/>
      <c r="F3" s="622"/>
      <c r="G3" s="622"/>
      <c r="H3" s="622"/>
      <c r="I3" s="622"/>
      <c r="J3" s="622"/>
      <c r="K3" s="622"/>
      <c r="L3" s="622"/>
      <c r="M3" s="622"/>
    </row>
    <row r="4" spans="1:13" ht="38.25" customHeight="1" x14ac:dyDescent="0.25">
      <c r="A4" s="622" t="s">
        <v>310</v>
      </c>
      <c r="B4" s="622"/>
      <c r="C4" s="622"/>
      <c r="D4" s="622"/>
      <c r="E4" s="622"/>
      <c r="F4" s="622"/>
      <c r="G4" s="622"/>
      <c r="H4" s="622"/>
      <c r="I4" s="622"/>
      <c r="J4" s="622"/>
      <c r="K4" s="622"/>
      <c r="L4" s="622"/>
      <c r="M4" s="622"/>
    </row>
    <row r="5" spans="1:13" ht="27" customHeight="1" x14ac:dyDescent="0.25">
      <c r="A5" s="140"/>
      <c r="B5" s="622" t="s">
        <v>82</v>
      </c>
      <c r="C5" s="622"/>
      <c r="D5" s="622"/>
      <c r="E5" s="622"/>
      <c r="F5" s="622"/>
      <c r="G5" s="622"/>
      <c r="H5" s="622"/>
      <c r="I5" s="622"/>
      <c r="J5" s="622"/>
      <c r="K5" s="622"/>
      <c r="L5" s="622"/>
      <c r="M5" s="622"/>
    </row>
    <row r="6" spans="1:13" ht="27" customHeight="1" x14ac:dyDescent="0.25">
      <c r="A6" s="140"/>
      <c r="B6" s="367"/>
      <c r="C6" s="367"/>
      <c r="D6" s="152"/>
      <c r="E6" s="367"/>
      <c r="F6" s="156"/>
      <c r="G6" s="156"/>
      <c r="H6" s="367"/>
      <c r="I6" s="156"/>
      <c r="J6" s="367"/>
      <c r="K6" s="139"/>
      <c r="L6" s="367"/>
      <c r="M6" s="367"/>
    </row>
    <row r="7" spans="1:13" ht="27" customHeight="1" x14ac:dyDescent="0.25">
      <c r="A7" s="627" t="s">
        <v>47</v>
      </c>
      <c r="B7" s="628"/>
      <c r="C7" s="625" t="s">
        <v>335</v>
      </c>
      <c r="D7" s="626"/>
      <c r="E7" s="367"/>
      <c r="F7" s="156"/>
      <c r="G7" s="156"/>
      <c r="H7" s="627" t="s">
        <v>53</v>
      </c>
      <c r="I7" s="628"/>
      <c r="J7" s="629">
        <f>BEMSdar!E7</f>
        <v>46082</v>
      </c>
      <c r="K7" s="630"/>
      <c r="L7" s="369"/>
      <c r="M7" s="338"/>
    </row>
    <row r="8" spans="1:13" ht="12.75" customHeight="1" x14ac:dyDescent="0.25">
      <c r="A8" s="155"/>
      <c r="B8" s="370"/>
      <c r="C8" s="339"/>
      <c r="D8" s="339"/>
      <c r="E8" s="339"/>
      <c r="F8" s="157"/>
      <c r="G8" s="157"/>
      <c r="H8" s="155"/>
      <c r="I8" s="340"/>
      <c r="J8" s="339"/>
      <c r="K8" s="341"/>
      <c r="L8" s="339"/>
      <c r="M8" s="339"/>
    </row>
    <row r="9" spans="1:13" ht="38.25" customHeight="1" x14ac:dyDescent="0.25">
      <c r="A9" s="155"/>
      <c r="B9" s="370" t="s">
        <v>50</v>
      </c>
      <c r="C9" s="620" t="s">
        <v>339</v>
      </c>
      <c r="D9" s="621"/>
      <c r="E9" s="367"/>
      <c r="F9" s="627" t="s">
        <v>155</v>
      </c>
      <c r="G9" s="627"/>
      <c r="H9" s="627"/>
      <c r="I9" s="628"/>
      <c r="J9" s="631">
        <f>BEMSdar!$E$11</f>
        <v>17318.154749999998</v>
      </c>
      <c r="K9" s="632"/>
      <c r="L9" s="342"/>
      <c r="M9" s="343"/>
    </row>
    <row r="10" spans="1:13" ht="15" customHeight="1" x14ac:dyDescent="0.25">
      <c r="A10" s="155"/>
      <c r="B10" s="370"/>
      <c r="C10" s="339"/>
      <c r="D10" s="339"/>
      <c r="E10" s="339"/>
      <c r="F10" s="157"/>
      <c r="G10" s="157"/>
      <c r="H10" s="155"/>
      <c r="I10" s="340"/>
      <c r="J10" s="339"/>
      <c r="K10" s="341"/>
      <c r="L10" s="339"/>
      <c r="M10" s="339"/>
    </row>
    <row r="11" spans="1:13" ht="37.5" customHeight="1" x14ac:dyDescent="0.25">
      <c r="A11" s="155"/>
      <c r="B11" s="370" t="s">
        <v>52</v>
      </c>
      <c r="C11" s="620" t="s">
        <v>134</v>
      </c>
      <c r="D11" s="621"/>
      <c r="E11" s="367"/>
      <c r="F11" s="627" t="s">
        <v>156</v>
      </c>
      <c r="G11" s="627"/>
      <c r="H11" s="627"/>
      <c r="I11" s="628"/>
      <c r="J11" s="631">
        <f>BEMSdar!$E$13</f>
        <v>444.05525000000125</v>
      </c>
      <c r="K11" s="632"/>
      <c r="L11" s="342"/>
      <c r="M11" s="343"/>
    </row>
    <row r="12" spans="1:13" s="144" customFormat="1" ht="27" customHeight="1" x14ac:dyDescent="0.25">
      <c r="A12" s="141"/>
      <c r="B12" s="141"/>
      <c r="C12" s="339"/>
      <c r="D12" s="339"/>
      <c r="E12" s="339"/>
      <c r="F12" s="157"/>
      <c r="G12" s="157"/>
      <c r="H12" s="142"/>
      <c r="I12" s="344"/>
      <c r="J12" s="141"/>
      <c r="K12" s="143"/>
      <c r="L12" s="141"/>
      <c r="M12" s="141"/>
    </row>
    <row r="13" spans="1:13" s="347" customFormat="1" ht="17.25" customHeight="1" x14ac:dyDescent="0.25">
      <c r="A13" s="145" t="s">
        <v>54</v>
      </c>
      <c r="B13" s="155"/>
      <c r="C13" s="155"/>
      <c r="D13" s="345"/>
      <c r="E13" s="155"/>
      <c r="F13" s="158"/>
      <c r="G13" s="158"/>
      <c r="H13" s="145"/>
      <c r="I13" s="158"/>
      <c r="J13" s="145"/>
      <c r="K13" s="346"/>
      <c r="L13" s="145"/>
      <c r="M13" s="155"/>
    </row>
    <row r="14" spans="1:13" s="347" customFormat="1" ht="17.25" customHeight="1" x14ac:dyDescent="0.25">
      <c r="A14" s="145" t="s">
        <v>55</v>
      </c>
      <c r="B14" s="155"/>
      <c r="C14" s="155"/>
      <c r="D14" s="345"/>
      <c r="E14" s="155"/>
      <c r="F14" s="158"/>
      <c r="G14" s="158"/>
      <c r="H14" s="145"/>
      <c r="I14" s="158"/>
      <c r="J14" s="145"/>
      <c r="K14" s="346"/>
      <c r="L14" s="145"/>
      <c r="M14" s="155"/>
    </row>
    <row r="15" spans="1:13" s="347" customFormat="1" ht="17.25" customHeight="1" x14ac:dyDescent="0.25">
      <c r="A15" s="145" t="s">
        <v>83</v>
      </c>
      <c r="B15" s="155"/>
      <c r="C15" s="155"/>
      <c r="D15" s="345"/>
      <c r="E15" s="155"/>
      <c r="F15" s="158"/>
      <c r="G15" s="158"/>
      <c r="H15" s="145"/>
      <c r="I15" s="158"/>
      <c r="J15" s="145"/>
      <c r="K15" s="346"/>
      <c r="L15" s="145"/>
      <c r="M15" s="155"/>
    </row>
    <row r="16" spans="1:13" s="347" customFormat="1" ht="17.25" customHeight="1" x14ac:dyDescent="0.25">
      <c r="A16" s="145" t="s">
        <v>84</v>
      </c>
      <c r="B16" s="155"/>
      <c r="C16" s="155"/>
      <c r="D16" s="345"/>
      <c r="E16" s="155"/>
      <c r="F16" s="158"/>
      <c r="G16" s="158"/>
      <c r="H16" s="145"/>
      <c r="I16" s="158"/>
      <c r="J16" s="145"/>
      <c r="K16" s="346"/>
      <c r="L16" s="145"/>
      <c r="M16" s="155"/>
    </row>
    <row r="17" spans="1:13" s="347" customFormat="1" ht="17.25" customHeight="1" x14ac:dyDescent="0.25">
      <c r="A17" s="145" t="s">
        <v>85</v>
      </c>
      <c r="B17" s="155"/>
      <c r="C17" s="155"/>
      <c r="D17" s="345"/>
      <c r="E17" s="155"/>
      <c r="F17" s="158"/>
      <c r="G17" s="158"/>
      <c r="H17" s="145"/>
      <c r="I17" s="158"/>
      <c r="J17" s="145"/>
      <c r="K17" s="346"/>
      <c r="L17" s="145"/>
      <c r="M17" s="155"/>
    </row>
    <row r="18" spans="1:13" ht="17.25" customHeight="1" x14ac:dyDescent="0.25">
      <c r="A18" s="155"/>
      <c r="B18" s="155"/>
      <c r="C18" s="155"/>
      <c r="D18" s="153"/>
      <c r="E18" s="348"/>
      <c r="F18" s="159"/>
      <c r="G18" s="159"/>
      <c r="H18" s="146"/>
      <c r="I18" s="159"/>
      <c r="J18" s="155"/>
      <c r="K18" s="143"/>
      <c r="L18" s="155"/>
      <c r="M18" s="155"/>
    </row>
    <row r="19" spans="1:13" s="349" customFormat="1" ht="37.5" customHeight="1" x14ac:dyDescent="0.25">
      <c r="A19" s="623" t="s">
        <v>60</v>
      </c>
      <c r="B19" s="638" t="s">
        <v>61</v>
      </c>
      <c r="C19" s="623" t="s">
        <v>62</v>
      </c>
      <c r="D19" s="639" t="s">
        <v>64</v>
      </c>
      <c r="E19" s="623" t="s">
        <v>65</v>
      </c>
      <c r="F19" s="624" t="s">
        <v>152</v>
      </c>
      <c r="G19" s="624" t="s">
        <v>153</v>
      </c>
      <c r="H19" s="624" t="s">
        <v>86</v>
      </c>
      <c r="I19" s="624" t="s">
        <v>154</v>
      </c>
      <c r="J19" s="623" t="s">
        <v>74</v>
      </c>
      <c r="K19" s="633" t="s">
        <v>71</v>
      </c>
      <c r="L19" s="634" t="s">
        <v>87</v>
      </c>
      <c r="M19" s="634"/>
    </row>
    <row r="20" spans="1:13" s="349" customFormat="1" ht="50.1" customHeight="1" x14ac:dyDescent="0.25">
      <c r="A20" s="623"/>
      <c r="B20" s="638"/>
      <c r="C20" s="623"/>
      <c r="D20" s="639"/>
      <c r="E20" s="623"/>
      <c r="F20" s="624"/>
      <c r="G20" s="624"/>
      <c r="H20" s="624"/>
      <c r="I20" s="624"/>
      <c r="J20" s="623"/>
      <c r="K20" s="633"/>
      <c r="L20" s="448" t="s">
        <v>75</v>
      </c>
      <c r="M20" s="448" t="s">
        <v>79</v>
      </c>
    </row>
    <row r="21" spans="1:13" s="353" customFormat="1" ht="60.75" customHeight="1" x14ac:dyDescent="0.25">
      <c r="A21" s="432">
        <v>1</v>
      </c>
      <c r="B21" s="433" t="s">
        <v>472</v>
      </c>
      <c r="C21" s="434" t="s">
        <v>463</v>
      </c>
      <c r="D21" s="435" t="s">
        <v>425</v>
      </c>
      <c r="E21" s="436" t="s">
        <v>508</v>
      </c>
      <c r="F21" s="437">
        <v>46084</v>
      </c>
      <c r="G21" s="438">
        <v>46085</v>
      </c>
      <c r="H21" s="439"/>
      <c r="I21" s="439">
        <v>46090</v>
      </c>
      <c r="J21" s="441" t="s">
        <v>133</v>
      </c>
      <c r="K21" s="461"/>
      <c r="L21" s="442"/>
      <c r="M21" s="443" t="s">
        <v>351</v>
      </c>
    </row>
    <row r="22" spans="1:13" s="353" customFormat="1" ht="60.75" customHeight="1" x14ac:dyDescent="0.25">
      <c r="A22" s="432">
        <v>2</v>
      </c>
      <c r="B22" s="433" t="s">
        <v>473</v>
      </c>
      <c r="C22" s="434" t="s">
        <v>464</v>
      </c>
      <c r="D22" s="435" t="s">
        <v>426</v>
      </c>
      <c r="E22" s="436" t="s">
        <v>509</v>
      </c>
      <c r="F22" s="437">
        <v>46090</v>
      </c>
      <c r="G22" s="438">
        <v>46091</v>
      </c>
      <c r="H22" s="439"/>
      <c r="I22" s="439">
        <v>46092</v>
      </c>
      <c r="J22" s="441" t="s">
        <v>133</v>
      </c>
      <c r="K22" s="461"/>
      <c r="L22" s="442"/>
      <c r="M22" s="443" t="s">
        <v>351</v>
      </c>
    </row>
    <row r="23" spans="1:13" s="353" customFormat="1" ht="60.75" customHeight="1" x14ac:dyDescent="0.25">
      <c r="A23" s="432">
        <v>3</v>
      </c>
      <c r="B23" s="433" t="s">
        <v>474</v>
      </c>
      <c r="C23" s="434" t="s">
        <v>464</v>
      </c>
      <c r="D23" s="435" t="s">
        <v>427</v>
      </c>
      <c r="E23" s="436" t="s">
        <v>510</v>
      </c>
      <c r="F23" s="437">
        <v>46091</v>
      </c>
      <c r="G23" s="438">
        <v>46092</v>
      </c>
      <c r="H23" s="439"/>
      <c r="I23" s="439">
        <v>46092</v>
      </c>
      <c r="J23" s="441" t="s">
        <v>133</v>
      </c>
      <c r="K23" s="461"/>
      <c r="L23" s="442"/>
      <c r="M23" s="443" t="s">
        <v>351</v>
      </c>
    </row>
    <row r="24" spans="1:13" s="353" customFormat="1" ht="60.75" customHeight="1" x14ac:dyDescent="0.25">
      <c r="A24" s="432">
        <v>4</v>
      </c>
      <c r="B24" s="433" t="s">
        <v>475</v>
      </c>
      <c r="C24" s="434" t="s">
        <v>464</v>
      </c>
      <c r="D24" s="435" t="s">
        <v>428</v>
      </c>
      <c r="E24" s="436" t="s">
        <v>510</v>
      </c>
      <c r="F24" s="437">
        <v>46091</v>
      </c>
      <c r="G24" s="438">
        <v>46092</v>
      </c>
      <c r="H24" s="439"/>
      <c r="I24" s="439">
        <v>46092</v>
      </c>
      <c r="J24" s="441" t="s">
        <v>133</v>
      </c>
      <c r="K24" s="461"/>
      <c r="L24" s="442"/>
      <c r="M24" s="443" t="s">
        <v>351</v>
      </c>
    </row>
    <row r="25" spans="1:13" s="353" customFormat="1" ht="65.25" customHeight="1" x14ac:dyDescent="0.25">
      <c r="A25" s="432">
        <v>5</v>
      </c>
      <c r="B25" s="433" t="s">
        <v>476</v>
      </c>
      <c r="C25" s="434" t="s">
        <v>465</v>
      </c>
      <c r="D25" s="435" t="s">
        <v>429</v>
      </c>
      <c r="E25" s="436" t="s">
        <v>511</v>
      </c>
      <c r="F25" s="437">
        <v>46091</v>
      </c>
      <c r="G25" s="438">
        <v>46092</v>
      </c>
      <c r="H25" s="439"/>
      <c r="I25" s="439">
        <v>46092</v>
      </c>
      <c r="J25" s="441" t="s">
        <v>133</v>
      </c>
      <c r="K25" s="461"/>
      <c r="L25" s="442"/>
      <c r="M25" s="443" t="s">
        <v>351</v>
      </c>
    </row>
    <row r="26" spans="1:13" s="353" customFormat="1" ht="60.75" customHeight="1" x14ac:dyDescent="0.25">
      <c r="A26" s="432">
        <v>6</v>
      </c>
      <c r="B26" s="433" t="s">
        <v>477</v>
      </c>
      <c r="C26" s="434" t="s">
        <v>466</v>
      </c>
      <c r="D26" s="435" t="s">
        <v>430</v>
      </c>
      <c r="E26" s="436" t="s">
        <v>512</v>
      </c>
      <c r="F26" s="437">
        <v>46092</v>
      </c>
      <c r="G26" s="438">
        <v>46093</v>
      </c>
      <c r="H26" s="439"/>
      <c r="I26" s="439">
        <v>46092</v>
      </c>
      <c r="J26" s="441" t="s">
        <v>133</v>
      </c>
      <c r="K26" s="461"/>
      <c r="L26" s="442"/>
      <c r="M26" s="443" t="s">
        <v>351</v>
      </c>
    </row>
    <row r="27" spans="1:13" s="353" customFormat="1" ht="60.75" customHeight="1" x14ac:dyDescent="0.25">
      <c r="A27" s="432">
        <v>7</v>
      </c>
      <c r="B27" s="433" t="s">
        <v>478</v>
      </c>
      <c r="C27" s="434" t="s">
        <v>464</v>
      </c>
      <c r="D27" s="435" t="s">
        <v>431</v>
      </c>
      <c r="E27" s="436" t="s">
        <v>513</v>
      </c>
      <c r="F27" s="437">
        <v>46093</v>
      </c>
      <c r="G27" s="438">
        <v>46094</v>
      </c>
      <c r="H27" s="439"/>
      <c r="I27" s="439">
        <v>46093</v>
      </c>
      <c r="J27" s="441" t="s">
        <v>133</v>
      </c>
      <c r="K27" s="461"/>
      <c r="L27" s="442"/>
      <c r="M27" s="443" t="s">
        <v>351</v>
      </c>
    </row>
    <row r="28" spans="1:13" s="353" customFormat="1" ht="60.75" customHeight="1" x14ac:dyDescent="0.25">
      <c r="A28" s="432">
        <v>8</v>
      </c>
      <c r="B28" s="433" t="s">
        <v>479</v>
      </c>
      <c r="C28" s="434" t="s">
        <v>464</v>
      </c>
      <c r="D28" s="435" t="s">
        <v>432</v>
      </c>
      <c r="E28" s="436" t="s">
        <v>513</v>
      </c>
      <c r="F28" s="437">
        <v>46093</v>
      </c>
      <c r="G28" s="438">
        <v>46094</v>
      </c>
      <c r="H28" s="439"/>
      <c r="I28" s="439">
        <v>46093</v>
      </c>
      <c r="J28" s="441" t="s">
        <v>133</v>
      </c>
      <c r="K28" s="461"/>
      <c r="L28" s="442"/>
      <c r="M28" s="443" t="s">
        <v>351</v>
      </c>
    </row>
    <row r="29" spans="1:13" s="353" customFormat="1" ht="60.75" customHeight="1" x14ac:dyDescent="0.25">
      <c r="A29" s="432">
        <v>9</v>
      </c>
      <c r="B29" s="433" t="s">
        <v>480</v>
      </c>
      <c r="C29" s="434" t="s">
        <v>464</v>
      </c>
      <c r="D29" s="435" t="s">
        <v>433</v>
      </c>
      <c r="E29" s="436" t="s">
        <v>513</v>
      </c>
      <c r="F29" s="437">
        <v>46093</v>
      </c>
      <c r="G29" s="438">
        <v>46094</v>
      </c>
      <c r="H29" s="439"/>
      <c r="I29" s="439">
        <v>46093</v>
      </c>
      <c r="J29" s="441" t="s">
        <v>133</v>
      </c>
      <c r="K29" s="461"/>
      <c r="L29" s="442"/>
      <c r="M29" s="443" t="s">
        <v>351</v>
      </c>
    </row>
    <row r="30" spans="1:13" s="353" customFormat="1" ht="60.75" customHeight="1" x14ac:dyDescent="0.25">
      <c r="A30" s="432">
        <v>10</v>
      </c>
      <c r="B30" s="433" t="s">
        <v>481</v>
      </c>
      <c r="C30" s="434" t="s">
        <v>464</v>
      </c>
      <c r="D30" s="435" t="s">
        <v>434</v>
      </c>
      <c r="E30" s="436" t="s">
        <v>513</v>
      </c>
      <c r="F30" s="437">
        <v>46093</v>
      </c>
      <c r="G30" s="438">
        <v>46094</v>
      </c>
      <c r="H30" s="439"/>
      <c r="I30" s="439">
        <v>46093</v>
      </c>
      <c r="J30" s="441" t="s">
        <v>133</v>
      </c>
      <c r="K30" s="461"/>
      <c r="L30" s="442"/>
      <c r="M30" s="443" t="s">
        <v>351</v>
      </c>
    </row>
    <row r="31" spans="1:13" s="353" customFormat="1" ht="60.75" customHeight="1" x14ac:dyDescent="0.25">
      <c r="A31" s="432">
        <v>11</v>
      </c>
      <c r="B31" s="433" t="s">
        <v>482</v>
      </c>
      <c r="C31" s="434" t="s">
        <v>464</v>
      </c>
      <c r="D31" s="435" t="s">
        <v>435</v>
      </c>
      <c r="E31" s="436" t="s">
        <v>513</v>
      </c>
      <c r="F31" s="437">
        <v>46093</v>
      </c>
      <c r="G31" s="438">
        <v>46094</v>
      </c>
      <c r="H31" s="439"/>
      <c r="I31" s="439">
        <v>46093</v>
      </c>
      <c r="J31" s="441" t="s">
        <v>133</v>
      </c>
      <c r="K31" s="461"/>
      <c r="L31" s="442"/>
      <c r="M31" s="443" t="s">
        <v>351</v>
      </c>
    </row>
    <row r="32" spans="1:13" s="353" customFormat="1" ht="60.75" customHeight="1" x14ac:dyDescent="0.25">
      <c r="A32" s="432">
        <v>12</v>
      </c>
      <c r="B32" s="433" t="s">
        <v>483</v>
      </c>
      <c r="C32" s="434" t="s">
        <v>464</v>
      </c>
      <c r="D32" s="435" t="s">
        <v>436</v>
      </c>
      <c r="E32" s="436" t="s">
        <v>513</v>
      </c>
      <c r="F32" s="437">
        <v>46093</v>
      </c>
      <c r="G32" s="438">
        <v>46094</v>
      </c>
      <c r="H32" s="439"/>
      <c r="I32" s="439">
        <v>46093</v>
      </c>
      <c r="J32" s="441" t="s">
        <v>133</v>
      </c>
      <c r="K32" s="461"/>
      <c r="L32" s="442"/>
      <c r="M32" s="443" t="s">
        <v>351</v>
      </c>
    </row>
    <row r="33" spans="1:13" s="353" customFormat="1" ht="60.75" customHeight="1" x14ac:dyDescent="0.25">
      <c r="A33" s="432">
        <v>13</v>
      </c>
      <c r="B33" s="433" t="s">
        <v>484</v>
      </c>
      <c r="C33" s="434" t="s">
        <v>464</v>
      </c>
      <c r="D33" s="435" t="s">
        <v>437</v>
      </c>
      <c r="E33" s="436" t="s">
        <v>513</v>
      </c>
      <c r="F33" s="437">
        <v>46093</v>
      </c>
      <c r="G33" s="438">
        <v>46094</v>
      </c>
      <c r="H33" s="439"/>
      <c r="I33" s="439">
        <v>46093</v>
      </c>
      <c r="J33" s="441" t="s">
        <v>133</v>
      </c>
      <c r="K33" s="461"/>
      <c r="L33" s="442"/>
      <c r="M33" s="443" t="s">
        <v>351</v>
      </c>
    </row>
    <row r="34" spans="1:13" s="353" customFormat="1" ht="60.75" customHeight="1" x14ac:dyDescent="0.25">
      <c r="A34" s="432">
        <v>14</v>
      </c>
      <c r="B34" s="433" t="s">
        <v>485</v>
      </c>
      <c r="C34" s="434" t="s">
        <v>464</v>
      </c>
      <c r="D34" s="435" t="s">
        <v>438</v>
      </c>
      <c r="E34" s="436" t="s">
        <v>514</v>
      </c>
      <c r="F34" s="437">
        <v>46094</v>
      </c>
      <c r="G34" s="438">
        <v>46095</v>
      </c>
      <c r="H34" s="439"/>
      <c r="I34" s="439">
        <v>46094</v>
      </c>
      <c r="J34" s="441" t="s">
        <v>133</v>
      </c>
      <c r="K34" s="461"/>
      <c r="L34" s="442"/>
      <c r="M34" s="443" t="s">
        <v>351</v>
      </c>
    </row>
    <row r="35" spans="1:13" s="353" customFormat="1" ht="60.75" customHeight="1" x14ac:dyDescent="0.25">
      <c r="A35" s="432">
        <v>15</v>
      </c>
      <c r="B35" s="433" t="s">
        <v>486</v>
      </c>
      <c r="C35" s="434" t="s">
        <v>464</v>
      </c>
      <c r="D35" s="435" t="s">
        <v>439</v>
      </c>
      <c r="E35" s="436" t="s">
        <v>515</v>
      </c>
      <c r="F35" s="437">
        <v>46094</v>
      </c>
      <c r="G35" s="438">
        <v>46095</v>
      </c>
      <c r="H35" s="439"/>
      <c r="I35" s="439">
        <v>46094</v>
      </c>
      <c r="J35" s="441" t="s">
        <v>133</v>
      </c>
      <c r="K35" s="461"/>
      <c r="L35" s="442"/>
      <c r="M35" s="443" t="s">
        <v>351</v>
      </c>
    </row>
    <row r="36" spans="1:13" s="353" customFormat="1" ht="60.75" customHeight="1" x14ac:dyDescent="0.25">
      <c r="A36" s="432">
        <v>16</v>
      </c>
      <c r="B36" s="433" t="s">
        <v>487</v>
      </c>
      <c r="C36" s="434" t="s">
        <v>467</v>
      </c>
      <c r="D36" s="435" t="s">
        <v>440</v>
      </c>
      <c r="E36" s="436" t="s">
        <v>512</v>
      </c>
      <c r="F36" s="437">
        <v>46097</v>
      </c>
      <c r="G36" s="438">
        <v>46098</v>
      </c>
      <c r="H36" s="439"/>
      <c r="I36" s="439">
        <v>46097</v>
      </c>
      <c r="J36" s="441" t="s">
        <v>133</v>
      </c>
      <c r="K36" s="461"/>
      <c r="L36" s="442"/>
      <c r="M36" s="443" t="s">
        <v>351</v>
      </c>
    </row>
    <row r="37" spans="1:13" s="353" customFormat="1" ht="60.75" customHeight="1" x14ac:dyDescent="0.25">
      <c r="A37" s="432">
        <v>17</v>
      </c>
      <c r="B37" s="433" t="s">
        <v>488</v>
      </c>
      <c r="C37" s="434" t="s">
        <v>468</v>
      </c>
      <c r="D37" s="435" t="s">
        <v>441</v>
      </c>
      <c r="E37" s="436" t="s">
        <v>516</v>
      </c>
      <c r="F37" s="437">
        <v>46098</v>
      </c>
      <c r="G37" s="438">
        <v>46099</v>
      </c>
      <c r="H37" s="439"/>
      <c r="I37" s="439">
        <v>46098</v>
      </c>
      <c r="J37" s="441" t="s">
        <v>133</v>
      </c>
      <c r="K37" s="461"/>
      <c r="L37" s="442"/>
      <c r="M37" s="443" t="s">
        <v>351</v>
      </c>
    </row>
    <row r="38" spans="1:13" s="353" customFormat="1" ht="60.75" customHeight="1" x14ac:dyDescent="0.25">
      <c r="A38" s="432">
        <v>18</v>
      </c>
      <c r="B38" s="433" t="s">
        <v>489</v>
      </c>
      <c r="C38" s="434" t="s">
        <v>468</v>
      </c>
      <c r="D38" s="435" t="s">
        <v>442</v>
      </c>
      <c r="E38" s="436" t="s">
        <v>516</v>
      </c>
      <c r="F38" s="437">
        <v>46098</v>
      </c>
      <c r="G38" s="438">
        <v>46099</v>
      </c>
      <c r="H38" s="439"/>
      <c r="I38" s="439">
        <v>46098</v>
      </c>
      <c r="J38" s="441" t="s">
        <v>133</v>
      </c>
      <c r="K38" s="461"/>
      <c r="L38" s="442"/>
      <c r="M38" s="443" t="s">
        <v>351</v>
      </c>
    </row>
    <row r="39" spans="1:13" s="353" customFormat="1" ht="60.75" customHeight="1" x14ac:dyDescent="0.25">
      <c r="A39" s="432">
        <v>19</v>
      </c>
      <c r="B39" s="433" t="s">
        <v>368</v>
      </c>
      <c r="C39" s="434" t="s">
        <v>467</v>
      </c>
      <c r="D39" s="435" t="s">
        <v>443</v>
      </c>
      <c r="E39" s="436" t="s">
        <v>516</v>
      </c>
      <c r="F39" s="437">
        <v>46099</v>
      </c>
      <c r="G39" s="438">
        <v>46100</v>
      </c>
      <c r="H39" s="439"/>
      <c r="I39" s="439">
        <v>46099</v>
      </c>
      <c r="J39" s="441" t="s">
        <v>133</v>
      </c>
      <c r="K39" s="461"/>
      <c r="L39" s="442"/>
      <c r="M39" s="443" t="s">
        <v>351</v>
      </c>
    </row>
    <row r="40" spans="1:13" s="353" customFormat="1" ht="60.75" customHeight="1" x14ac:dyDescent="0.25">
      <c r="A40" s="432">
        <v>20</v>
      </c>
      <c r="B40" s="433" t="s">
        <v>490</v>
      </c>
      <c r="C40" s="434" t="s">
        <v>468</v>
      </c>
      <c r="D40" s="435" t="s">
        <v>444</v>
      </c>
      <c r="E40" s="436" t="s">
        <v>516</v>
      </c>
      <c r="F40" s="437">
        <v>46099</v>
      </c>
      <c r="G40" s="438">
        <v>46100</v>
      </c>
      <c r="H40" s="439"/>
      <c r="I40" s="439">
        <v>46099</v>
      </c>
      <c r="J40" s="441" t="s">
        <v>133</v>
      </c>
      <c r="K40" s="461"/>
      <c r="L40" s="442"/>
      <c r="M40" s="443" t="s">
        <v>351</v>
      </c>
    </row>
    <row r="41" spans="1:13" s="353" customFormat="1" ht="60.75" customHeight="1" x14ac:dyDescent="0.25">
      <c r="A41" s="432">
        <v>21</v>
      </c>
      <c r="B41" s="433" t="s">
        <v>491</v>
      </c>
      <c r="C41" s="434" t="s">
        <v>467</v>
      </c>
      <c r="D41" s="435" t="s">
        <v>445</v>
      </c>
      <c r="E41" s="436" t="s">
        <v>516</v>
      </c>
      <c r="F41" s="437">
        <v>46099</v>
      </c>
      <c r="G41" s="438">
        <v>46100</v>
      </c>
      <c r="H41" s="439"/>
      <c r="I41" s="439">
        <v>46099</v>
      </c>
      <c r="J41" s="441" t="s">
        <v>133</v>
      </c>
      <c r="K41" s="461"/>
      <c r="L41" s="442"/>
      <c r="M41" s="443" t="s">
        <v>351</v>
      </c>
    </row>
    <row r="42" spans="1:13" s="353" customFormat="1" ht="60.75" customHeight="1" x14ac:dyDescent="0.25">
      <c r="A42" s="432">
        <v>22</v>
      </c>
      <c r="B42" s="433" t="s">
        <v>492</v>
      </c>
      <c r="C42" s="434" t="s">
        <v>467</v>
      </c>
      <c r="D42" s="435" t="s">
        <v>446</v>
      </c>
      <c r="E42" s="436" t="s">
        <v>516</v>
      </c>
      <c r="F42" s="437">
        <v>46099</v>
      </c>
      <c r="G42" s="438">
        <v>46100</v>
      </c>
      <c r="H42" s="439"/>
      <c r="I42" s="439">
        <v>46099</v>
      </c>
      <c r="J42" s="441" t="s">
        <v>133</v>
      </c>
      <c r="K42" s="461"/>
      <c r="L42" s="442"/>
      <c r="M42" s="443" t="s">
        <v>351</v>
      </c>
    </row>
    <row r="43" spans="1:13" s="353" customFormat="1" ht="60.75" customHeight="1" x14ac:dyDescent="0.25">
      <c r="A43" s="432">
        <v>23</v>
      </c>
      <c r="B43" s="433" t="s">
        <v>493</v>
      </c>
      <c r="C43" s="434" t="s">
        <v>467</v>
      </c>
      <c r="D43" s="435" t="s">
        <v>447</v>
      </c>
      <c r="E43" s="436" t="s">
        <v>517</v>
      </c>
      <c r="F43" s="437">
        <v>46099</v>
      </c>
      <c r="G43" s="438">
        <v>46100</v>
      </c>
      <c r="H43" s="439"/>
      <c r="I43" s="439">
        <v>46099</v>
      </c>
      <c r="J43" s="441" t="s">
        <v>133</v>
      </c>
      <c r="K43" s="461"/>
      <c r="L43" s="442"/>
      <c r="M43" s="443" t="s">
        <v>351</v>
      </c>
    </row>
    <row r="44" spans="1:13" s="353" customFormat="1" ht="60.75" customHeight="1" x14ac:dyDescent="0.25">
      <c r="A44" s="432">
        <v>24</v>
      </c>
      <c r="B44" s="433" t="s">
        <v>494</v>
      </c>
      <c r="C44" s="434" t="s">
        <v>469</v>
      </c>
      <c r="D44" s="435" t="s">
        <v>448</v>
      </c>
      <c r="E44" s="436" t="s">
        <v>518</v>
      </c>
      <c r="F44" s="437">
        <v>46100</v>
      </c>
      <c r="G44" s="438">
        <v>46101</v>
      </c>
      <c r="H44" s="439"/>
      <c r="I44" s="439">
        <v>46100</v>
      </c>
      <c r="J44" s="441" t="s">
        <v>133</v>
      </c>
      <c r="K44" s="461"/>
      <c r="L44" s="442"/>
      <c r="M44" s="443" t="s">
        <v>351</v>
      </c>
    </row>
    <row r="45" spans="1:13" s="353" customFormat="1" ht="60.75" customHeight="1" x14ac:dyDescent="0.25">
      <c r="A45" s="432">
        <v>25</v>
      </c>
      <c r="B45" s="433" t="s">
        <v>495</v>
      </c>
      <c r="C45" s="434" t="s">
        <v>374</v>
      </c>
      <c r="D45" s="435" t="s">
        <v>449</v>
      </c>
      <c r="E45" s="436" t="s">
        <v>519</v>
      </c>
      <c r="F45" s="437">
        <v>46101</v>
      </c>
      <c r="G45" s="438">
        <v>46102</v>
      </c>
      <c r="H45" s="439"/>
      <c r="I45" s="439">
        <v>46107</v>
      </c>
      <c r="J45" s="441" t="s">
        <v>133</v>
      </c>
      <c r="K45" s="461"/>
      <c r="L45" s="442"/>
      <c r="M45" s="443" t="s">
        <v>351</v>
      </c>
    </row>
    <row r="46" spans="1:13" s="353" customFormat="1" ht="60.75" customHeight="1" x14ac:dyDescent="0.25">
      <c r="A46" s="432">
        <v>26</v>
      </c>
      <c r="B46" s="433" t="s">
        <v>376</v>
      </c>
      <c r="C46" s="434" t="s">
        <v>374</v>
      </c>
      <c r="D46" s="435" t="s">
        <v>450</v>
      </c>
      <c r="E46" s="436" t="s">
        <v>519</v>
      </c>
      <c r="F46" s="437">
        <v>46101</v>
      </c>
      <c r="G46" s="438">
        <v>46102</v>
      </c>
      <c r="H46" s="439"/>
      <c r="I46" s="439">
        <v>46107</v>
      </c>
      <c r="J46" s="441" t="s">
        <v>133</v>
      </c>
      <c r="K46" s="461"/>
      <c r="L46" s="442"/>
      <c r="M46" s="443" t="s">
        <v>351</v>
      </c>
    </row>
    <row r="47" spans="1:13" s="353" customFormat="1" ht="60.75" customHeight="1" x14ac:dyDescent="0.25">
      <c r="A47" s="432">
        <v>27</v>
      </c>
      <c r="B47" s="433" t="s">
        <v>496</v>
      </c>
      <c r="C47" s="434" t="s">
        <v>468</v>
      </c>
      <c r="D47" s="435" t="s">
        <v>451</v>
      </c>
      <c r="E47" s="436" t="s">
        <v>520</v>
      </c>
      <c r="F47" s="437">
        <v>46104</v>
      </c>
      <c r="G47" s="438">
        <v>46105</v>
      </c>
      <c r="H47" s="439"/>
      <c r="I47" s="439">
        <v>49761</v>
      </c>
      <c r="J47" s="441" t="s">
        <v>133</v>
      </c>
      <c r="K47" s="461"/>
      <c r="L47" s="442"/>
      <c r="M47" s="443" t="s">
        <v>351</v>
      </c>
    </row>
    <row r="48" spans="1:13" s="353" customFormat="1" ht="60.75" customHeight="1" x14ac:dyDescent="0.25">
      <c r="A48" s="432">
        <v>28</v>
      </c>
      <c r="B48" s="433" t="s">
        <v>497</v>
      </c>
      <c r="C48" s="434" t="s">
        <v>468</v>
      </c>
      <c r="D48" s="435" t="s">
        <v>452</v>
      </c>
      <c r="E48" s="436" t="s">
        <v>520</v>
      </c>
      <c r="F48" s="437">
        <v>46104</v>
      </c>
      <c r="G48" s="438">
        <v>46105</v>
      </c>
      <c r="H48" s="439"/>
      <c r="I48" s="439">
        <v>46108</v>
      </c>
      <c r="J48" s="441" t="s">
        <v>133</v>
      </c>
      <c r="K48" s="461"/>
      <c r="L48" s="442"/>
      <c r="M48" s="443" t="s">
        <v>351</v>
      </c>
    </row>
    <row r="49" spans="1:13" s="353" customFormat="1" ht="60.75" customHeight="1" x14ac:dyDescent="0.25">
      <c r="A49" s="432">
        <v>29</v>
      </c>
      <c r="B49" s="433" t="s">
        <v>498</v>
      </c>
      <c r="C49" s="434" t="s">
        <v>468</v>
      </c>
      <c r="D49" s="435" t="s">
        <v>453</v>
      </c>
      <c r="E49" s="436" t="s">
        <v>520</v>
      </c>
      <c r="F49" s="437">
        <v>46104</v>
      </c>
      <c r="G49" s="438">
        <v>46105</v>
      </c>
      <c r="H49" s="439"/>
      <c r="I49" s="439">
        <v>46108</v>
      </c>
      <c r="J49" s="441" t="s">
        <v>133</v>
      </c>
      <c r="K49" s="461"/>
      <c r="L49" s="442"/>
      <c r="M49" s="443" t="s">
        <v>351</v>
      </c>
    </row>
    <row r="50" spans="1:13" s="353" customFormat="1" ht="60.75" customHeight="1" x14ac:dyDescent="0.25">
      <c r="A50" s="432">
        <v>30</v>
      </c>
      <c r="B50" s="433" t="s">
        <v>499</v>
      </c>
      <c r="C50" s="434" t="s">
        <v>468</v>
      </c>
      <c r="D50" s="435" t="s">
        <v>454</v>
      </c>
      <c r="E50" s="436" t="s">
        <v>520</v>
      </c>
      <c r="F50" s="437">
        <v>46104</v>
      </c>
      <c r="G50" s="438">
        <v>46105</v>
      </c>
      <c r="H50" s="439"/>
      <c r="I50" s="439">
        <v>46108</v>
      </c>
      <c r="J50" s="441" t="s">
        <v>133</v>
      </c>
      <c r="K50" s="461"/>
      <c r="L50" s="442"/>
      <c r="M50" s="443" t="s">
        <v>351</v>
      </c>
    </row>
    <row r="51" spans="1:13" s="353" customFormat="1" ht="60.75" customHeight="1" x14ac:dyDescent="0.25">
      <c r="A51" s="432">
        <v>31</v>
      </c>
      <c r="B51" s="433" t="s">
        <v>500</v>
      </c>
      <c r="C51" s="434" t="s">
        <v>468</v>
      </c>
      <c r="D51" s="435" t="s">
        <v>455</v>
      </c>
      <c r="E51" s="436" t="s">
        <v>520</v>
      </c>
      <c r="F51" s="437">
        <v>46104</v>
      </c>
      <c r="G51" s="438">
        <v>46105</v>
      </c>
      <c r="H51" s="439"/>
      <c r="I51" s="439">
        <v>46108</v>
      </c>
      <c r="J51" s="441" t="s">
        <v>133</v>
      </c>
      <c r="K51" s="461"/>
      <c r="L51" s="442"/>
      <c r="M51" s="443" t="s">
        <v>351</v>
      </c>
    </row>
    <row r="52" spans="1:13" s="353" customFormat="1" ht="60.75" customHeight="1" x14ac:dyDescent="0.25">
      <c r="A52" s="432">
        <v>32</v>
      </c>
      <c r="B52" s="433" t="s">
        <v>501</v>
      </c>
      <c r="C52" s="434" t="s">
        <v>467</v>
      </c>
      <c r="D52" s="435" t="s">
        <v>456</v>
      </c>
      <c r="E52" s="436" t="s">
        <v>520</v>
      </c>
      <c r="F52" s="437">
        <v>46104</v>
      </c>
      <c r="G52" s="438">
        <v>46105</v>
      </c>
      <c r="H52" s="439"/>
      <c r="I52" s="439">
        <v>46108</v>
      </c>
      <c r="J52" s="441" t="s">
        <v>133</v>
      </c>
      <c r="K52" s="461"/>
      <c r="L52" s="442"/>
      <c r="M52" s="443" t="s">
        <v>351</v>
      </c>
    </row>
    <row r="53" spans="1:13" s="353" customFormat="1" ht="60.75" customHeight="1" x14ac:dyDescent="0.25">
      <c r="A53" s="432">
        <v>33</v>
      </c>
      <c r="B53" s="433" t="s">
        <v>502</v>
      </c>
      <c r="C53" s="434" t="s">
        <v>467</v>
      </c>
      <c r="D53" s="435" t="s">
        <v>457</v>
      </c>
      <c r="E53" s="436" t="s">
        <v>512</v>
      </c>
      <c r="F53" s="437">
        <v>46105</v>
      </c>
      <c r="G53" s="437">
        <v>46106</v>
      </c>
      <c r="H53" s="439"/>
      <c r="I53" s="439">
        <v>46105</v>
      </c>
      <c r="J53" s="441" t="s">
        <v>133</v>
      </c>
      <c r="K53" s="461"/>
      <c r="L53" s="442"/>
      <c r="M53" s="443" t="s">
        <v>351</v>
      </c>
    </row>
    <row r="54" spans="1:13" s="353" customFormat="1" ht="60.75" customHeight="1" x14ac:dyDescent="0.25">
      <c r="A54" s="432">
        <v>34</v>
      </c>
      <c r="B54" s="433" t="s">
        <v>503</v>
      </c>
      <c r="C54" s="434" t="s">
        <v>470</v>
      </c>
      <c r="D54" s="435" t="s">
        <v>458</v>
      </c>
      <c r="E54" s="436" t="s">
        <v>521</v>
      </c>
      <c r="F54" s="437">
        <v>46106</v>
      </c>
      <c r="G54" s="437">
        <v>46107</v>
      </c>
      <c r="H54" s="439"/>
      <c r="I54" s="439">
        <v>46106</v>
      </c>
      <c r="J54" s="441" t="s">
        <v>133</v>
      </c>
      <c r="K54" s="461"/>
      <c r="L54" s="442"/>
      <c r="M54" s="443" t="s">
        <v>351</v>
      </c>
    </row>
    <row r="55" spans="1:13" s="353" customFormat="1" ht="60.75" customHeight="1" x14ac:dyDescent="0.25">
      <c r="A55" s="432">
        <v>35</v>
      </c>
      <c r="B55" s="433" t="s">
        <v>504</v>
      </c>
      <c r="C55" s="434" t="s">
        <v>471</v>
      </c>
      <c r="D55" s="435" t="s">
        <v>459</v>
      </c>
      <c r="E55" s="436" t="s">
        <v>522</v>
      </c>
      <c r="F55" s="437">
        <v>46107</v>
      </c>
      <c r="G55" s="437">
        <v>46108</v>
      </c>
      <c r="H55" s="439"/>
      <c r="I55" s="439">
        <v>46107</v>
      </c>
      <c r="J55" s="441" t="s">
        <v>133</v>
      </c>
      <c r="K55" s="461"/>
      <c r="L55" s="442"/>
      <c r="M55" s="443" t="s">
        <v>351</v>
      </c>
    </row>
    <row r="56" spans="1:13" s="353" customFormat="1" ht="60.75" customHeight="1" x14ac:dyDescent="0.25">
      <c r="A56" s="432">
        <v>36</v>
      </c>
      <c r="B56" s="433" t="s">
        <v>505</v>
      </c>
      <c r="C56" s="434" t="s">
        <v>471</v>
      </c>
      <c r="D56" s="435" t="s">
        <v>460</v>
      </c>
      <c r="E56" s="436" t="s">
        <v>520</v>
      </c>
      <c r="F56" s="437">
        <v>46107</v>
      </c>
      <c r="G56" s="437">
        <v>46108</v>
      </c>
      <c r="H56" s="439"/>
      <c r="I56" s="439">
        <v>46107</v>
      </c>
      <c r="J56" s="441" t="s">
        <v>133</v>
      </c>
      <c r="K56" s="461"/>
      <c r="L56" s="442"/>
      <c r="M56" s="443" t="s">
        <v>351</v>
      </c>
    </row>
    <row r="57" spans="1:13" s="353" customFormat="1" ht="60.75" customHeight="1" x14ac:dyDescent="0.25">
      <c r="A57" s="432">
        <v>37</v>
      </c>
      <c r="B57" s="433" t="s">
        <v>506</v>
      </c>
      <c r="C57" s="434" t="s">
        <v>467</v>
      </c>
      <c r="D57" s="435" t="s">
        <v>461</v>
      </c>
      <c r="E57" s="436" t="s">
        <v>516</v>
      </c>
      <c r="F57" s="437">
        <v>46108</v>
      </c>
      <c r="G57" s="438">
        <v>46109</v>
      </c>
      <c r="H57" s="439"/>
      <c r="I57" s="439">
        <v>46108</v>
      </c>
      <c r="J57" s="441" t="s">
        <v>133</v>
      </c>
      <c r="K57" s="461"/>
      <c r="L57" s="442"/>
      <c r="M57" s="443" t="s">
        <v>351</v>
      </c>
    </row>
    <row r="58" spans="1:13" s="353" customFormat="1" ht="60.75" customHeight="1" x14ac:dyDescent="0.25">
      <c r="A58" s="432">
        <v>38</v>
      </c>
      <c r="B58" s="433" t="s">
        <v>507</v>
      </c>
      <c r="C58" s="434" t="s">
        <v>471</v>
      </c>
      <c r="D58" s="435" t="s">
        <v>462</v>
      </c>
      <c r="E58" s="436" t="s">
        <v>517</v>
      </c>
      <c r="F58" s="437">
        <v>46108</v>
      </c>
      <c r="G58" s="438">
        <v>46109</v>
      </c>
      <c r="H58" s="439"/>
      <c r="I58" s="439">
        <v>46108</v>
      </c>
      <c r="J58" s="441" t="s">
        <v>133</v>
      </c>
      <c r="K58" s="461"/>
      <c r="L58" s="442"/>
      <c r="M58" s="443" t="s">
        <v>351</v>
      </c>
    </row>
    <row r="59" spans="1:13" s="60" customFormat="1" ht="57" customHeight="1" x14ac:dyDescent="0.25">
      <c r="A59" s="635" t="s">
        <v>149</v>
      </c>
      <c r="B59" s="636"/>
      <c r="C59" s="636"/>
      <c r="D59" s="636"/>
      <c r="E59" s="636"/>
      <c r="F59" s="636"/>
      <c r="G59" s="636"/>
      <c r="H59" s="636"/>
      <c r="I59" s="636"/>
      <c r="J59" s="636"/>
      <c r="K59" s="636"/>
      <c r="L59" s="636"/>
      <c r="M59" s="637"/>
    </row>
    <row r="60" spans="1:13" s="353" customFormat="1" ht="60.75" customHeight="1" x14ac:dyDescent="0.25">
      <c r="A60" s="432"/>
      <c r="B60" s="433"/>
      <c r="C60" s="434"/>
      <c r="D60" s="435"/>
      <c r="E60" s="436"/>
      <c r="F60" s="437"/>
      <c r="G60" s="438"/>
      <c r="H60" s="439"/>
      <c r="I60" s="439"/>
      <c r="J60" s="441"/>
      <c r="K60" s="461"/>
      <c r="L60" s="442"/>
      <c r="M60" s="443"/>
    </row>
    <row r="61" spans="1:13" s="350" customFormat="1" ht="60" customHeight="1" x14ac:dyDescent="0.25">
      <c r="A61" s="635" t="s">
        <v>299</v>
      </c>
      <c r="B61" s="636"/>
      <c r="C61" s="636"/>
      <c r="D61" s="636"/>
      <c r="E61" s="636"/>
      <c r="F61" s="636"/>
      <c r="G61" s="636"/>
      <c r="H61" s="636"/>
      <c r="I61" s="636"/>
      <c r="J61" s="636"/>
      <c r="K61" s="636"/>
      <c r="L61" s="636"/>
      <c r="M61" s="637"/>
    </row>
    <row r="62" spans="1:13" ht="59.25" customHeight="1" x14ac:dyDescent="0.25">
      <c r="A62" s="432"/>
      <c r="B62" s="445"/>
      <c r="C62" s="434"/>
      <c r="D62" s="444"/>
      <c r="E62" s="436"/>
      <c r="F62" s="437"/>
      <c r="G62" s="438"/>
      <c r="H62" s="439"/>
      <c r="I62" s="439"/>
      <c r="J62" s="440"/>
      <c r="K62" s="441"/>
      <c r="L62" s="442"/>
      <c r="M62" s="443"/>
    </row>
    <row r="63" spans="1:13" ht="59.25" customHeight="1" x14ac:dyDescent="0.25">
      <c r="A63" s="635" t="s">
        <v>295</v>
      </c>
      <c r="B63" s="636"/>
      <c r="C63" s="636"/>
      <c r="D63" s="636"/>
      <c r="E63" s="636"/>
      <c r="F63" s="636"/>
      <c r="G63" s="636"/>
      <c r="H63" s="636"/>
      <c r="I63" s="636"/>
      <c r="J63" s="636"/>
      <c r="K63" s="636"/>
      <c r="L63" s="636"/>
      <c r="M63" s="637"/>
    </row>
    <row r="64" spans="1:13" ht="59.25" customHeight="1" x14ac:dyDescent="0.25">
      <c r="A64" s="432"/>
      <c r="B64" s="446"/>
      <c r="C64" s="446"/>
      <c r="D64" s="434"/>
      <c r="E64" s="446"/>
      <c r="F64" s="447"/>
      <c r="G64" s="447"/>
      <c r="H64" s="446"/>
      <c r="I64" s="440" t="s">
        <v>151</v>
      </c>
      <c r="J64" s="446"/>
      <c r="K64" s="432"/>
      <c r="L64" s="446"/>
      <c r="M64" s="446"/>
    </row>
    <row r="65" spans="1:13" ht="59.25" customHeight="1" x14ac:dyDescent="0.25">
      <c r="A65" s="618" t="s">
        <v>311</v>
      </c>
      <c r="B65" s="619"/>
      <c r="C65" s="619"/>
      <c r="D65" s="619"/>
      <c r="E65" s="619"/>
      <c r="F65" s="619"/>
      <c r="G65" s="619"/>
      <c r="H65" s="619"/>
      <c r="I65" s="619"/>
      <c r="J65" s="619"/>
      <c r="K65" s="619"/>
      <c r="L65" s="449">
        <f>SUM(L20:L64)</f>
        <v>0</v>
      </c>
      <c r="M65" s="450"/>
    </row>
  </sheetData>
  <autoFilter ref="A20:M65" xr:uid="{00000000-0009-0000-0000-000004000000}"/>
  <mergeCells count="31">
    <mergeCell ref="L19:M19"/>
    <mergeCell ref="A59:M59"/>
    <mergeCell ref="A61:M61"/>
    <mergeCell ref="A63:M63"/>
    <mergeCell ref="J11:K11"/>
    <mergeCell ref="A19:A20"/>
    <mergeCell ref="B19:B20"/>
    <mergeCell ref="C19:C20"/>
    <mergeCell ref="D19:D20"/>
    <mergeCell ref="G19:G20"/>
    <mergeCell ref="A2:M2"/>
    <mergeCell ref="B1:L1"/>
    <mergeCell ref="A3:M3"/>
    <mergeCell ref="A4:M4"/>
    <mergeCell ref="A7:B7"/>
    <mergeCell ref="A65:K65"/>
    <mergeCell ref="C9:D9"/>
    <mergeCell ref="B5:M5"/>
    <mergeCell ref="E19:E20"/>
    <mergeCell ref="F19:F20"/>
    <mergeCell ref="H19:H20"/>
    <mergeCell ref="I19:I20"/>
    <mergeCell ref="J19:J20"/>
    <mergeCell ref="C7:D7"/>
    <mergeCell ref="H7:I7"/>
    <mergeCell ref="J7:K7"/>
    <mergeCell ref="C11:D11"/>
    <mergeCell ref="F9:I9"/>
    <mergeCell ref="F11:I11"/>
    <mergeCell ref="J9:K9"/>
    <mergeCell ref="K19:K20"/>
  </mergeCells>
  <phoneticPr fontId="79" type="noConversion"/>
  <printOptions horizontalCentered="1"/>
  <pageMargins left="0.4" right="0.2" top="0.40748031499999998" bottom="0.15748031496063" header="0.15748031496063" footer="0.15748031496063"/>
  <pageSetup paperSize="9" scale="43"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pageSetUpPr fitToPage="1"/>
  </sheetPr>
  <dimension ref="A1:AB43"/>
  <sheetViews>
    <sheetView view="pageBreakPreview" zoomScale="50" zoomScaleNormal="70" zoomScaleSheetLayoutView="50" workbookViewId="0">
      <selection activeCell="AB35" sqref="AB35"/>
    </sheetView>
  </sheetViews>
  <sheetFormatPr defaultColWidth="9.140625" defaultRowHeight="15" x14ac:dyDescent="0.25"/>
  <cols>
    <col min="1" max="1" width="5.85546875" style="30" customWidth="1"/>
    <col min="2" max="2" width="24.5703125" style="30" customWidth="1"/>
    <col min="3" max="3" width="10.140625" style="30" customWidth="1"/>
    <col min="4" max="4" width="27.85546875" style="30" customWidth="1"/>
    <col min="5" max="5" width="20.28515625" style="30" customWidth="1"/>
    <col min="6" max="6" width="9.5703125" style="30" customWidth="1"/>
    <col min="7" max="7" width="10" style="36" customWidth="1"/>
    <col min="8" max="10" width="10.7109375" style="36" bestFit="1" customWidth="1"/>
    <col min="11" max="16" width="8.28515625" style="36" bestFit="1" customWidth="1"/>
    <col min="17" max="17" width="9.140625" style="36" customWidth="1"/>
    <col min="18" max="18" width="9.28515625" style="36" bestFit="1" customWidth="1"/>
    <col min="19" max="19" width="9.140625" style="36" bestFit="1" customWidth="1"/>
    <col min="20" max="20" width="13.7109375" style="36" customWidth="1"/>
    <col min="21" max="24" width="8.42578125" style="36" customWidth="1"/>
    <col min="25" max="25" width="12.28515625" style="36" customWidth="1"/>
    <col min="26" max="26" width="11.7109375" style="36" customWidth="1"/>
    <col min="27" max="27" width="16.28515625" style="53" customWidth="1"/>
    <col min="28" max="28" width="31.28515625" style="30" customWidth="1"/>
    <col min="29" max="16384" width="9.140625" style="30"/>
  </cols>
  <sheetData>
    <row r="1" spans="1:28" s="147" customFormat="1" ht="96.75" customHeight="1" x14ac:dyDescent="0.3">
      <c r="A1" s="656" t="s">
        <v>45</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row>
    <row r="2" spans="1:28" s="147" customFormat="1" ht="44.25" customHeight="1" x14ac:dyDescent="0.3">
      <c r="A2" s="656" t="s">
        <v>327</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row>
    <row r="3" spans="1:28" s="147" customFormat="1" ht="25.5" customHeight="1" x14ac:dyDescent="0.3">
      <c r="A3" s="656" t="s">
        <v>88</v>
      </c>
      <c r="B3" s="656"/>
      <c r="C3" s="656"/>
      <c r="D3" s="656"/>
      <c r="E3" s="656"/>
      <c r="F3" s="656"/>
      <c r="G3" s="656"/>
      <c r="H3" s="656"/>
      <c r="I3" s="656"/>
      <c r="J3" s="656"/>
      <c r="K3" s="656"/>
      <c r="L3" s="656"/>
      <c r="M3" s="656"/>
      <c r="N3" s="656"/>
      <c r="O3" s="656"/>
      <c r="P3" s="656"/>
      <c r="Q3" s="656"/>
      <c r="R3" s="656"/>
      <c r="S3" s="656"/>
      <c r="T3" s="656"/>
      <c r="U3" s="656"/>
      <c r="V3" s="656"/>
      <c r="W3" s="656"/>
      <c r="X3" s="656"/>
      <c r="Y3" s="656"/>
      <c r="Z3" s="656"/>
      <c r="AA3" s="656"/>
      <c r="AB3" s="656"/>
    </row>
    <row r="4" spans="1:28" s="147" customFormat="1" ht="17.25" customHeight="1" x14ac:dyDescent="0.2">
      <c r="A4" s="276"/>
      <c r="B4" s="277"/>
      <c r="C4" s="185"/>
      <c r="D4" s="185"/>
      <c r="E4" s="185"/>
      <c r="F4" s="185"/>
      <c r="G4" s="185"/>
      <c r="H4" s="185"/>
      <c r="I4" s="185"/>
      <c r="J4" s="185"/>
      <c r="K4" s="185"/>
      <c r="L4" s="185"/>
      <c r="M4" s="185"/>
      <c r="N4" s="185"/>
      <c r="O4" s="185"/>
      <c r="P4" s="185"/>
      <c r="Q4" s="185"/>
      <c r="R4" s="185"/>
      <c r="S4" s="185"/>
      <c r="T4" s="278"/>
      <c r="U4" s="278"/>
      <c r="V4" s="278"/>
      <c r="W4" s="278"/>
      <c r="X4" s="278"/>
      <c r="Y4" s="278"/>
      <c r="Z4" s="278"/>
      <c r="AA4" s="278"/>
      <c r="AB4" s="276"/>
    </row>
    <row r="5" spans="1:28" s="265" customFormat="1" ht="24.75" customHeight="1" x14ac:dyDescent="0.25">
      <c r="A5" s="279"/>
      <c r="B5" s="280" t="s">
        <v>47</v>
      </c>
      <c r="C5" s="647" t="s">
        <v>335</v>
      </c>
      <c r="D5" s="648"/>
      <c r="E5" s="648"/>
      <c r="F5" s="648"/>
      <c r="G5" s="648"/>
      <c r="H5" s="649"/>
      <c r="I5" s="281"/>
      <c r="J5" s="650"/>
      <c r="K5" s="650"/>
      <c r="L5" s="650"/>
      <c r="M5" s="650"/>
      <c r="N5" s="657" t="s">
        <v>53</v>
      </c>
      <c r="O5" s="658"/>
      <c r="P5" s="658"/>
      <c r="Q5" s="658"/>
      <c r="R5" s="658"/>
      <c r="S5" s="658"/>
      <c r="T5" s="658"/>
      <c r="U5" s="641">
        <f>BEMSdar!E7</f>
        <v>46082</v>
      </c>
      <c r="V5" s="642"/>
      <c r="W5" s="642"/>
      <c r="X5" s="642"/>
      <c r="Y5" s="642"/>
      <c r="Z5" s="642"/>
      <c r="AA5" s="642"/>
      <c r="AB5" s="279"/>
    </row>
    <row r="6" spans="1:28" s="265" customFormat="1" ht="9" customHeight="1" x14ac:dyDescent="0.25">
      <c r="A6" s="279"/>
      <c r="B6" s="280"/>
      <c r="C6" s="282"/>
      <c r="D6" s="283"/>
      <c r="E6" s="283"/>
      <c r="F6" s="283"/>
      <c r="G6" s="283"/>
      <c r="H6" s="283"/>
      <c r="I6" s="281"/>
      <c r="J6" s="281"/>
      <c r="K6" s="281"/>
      <c r="L6" s="281"/>
      <c r="M6" s="281"/>
      <c r="N6" s="280"/>
      <c r="O6" s="280"/>
      <c r="P6" s="280"/>
      <c r="Q6" s="280"/>
      <c r="R6" s="280"/>
      <c r="S6" s="280"/>
      <c r="T6" s="280"/>
      <c r="U6" s="280"/>
      <c r="V6" s="280"/>
      <c r="W6" s="280"/>
      <c r="X6" s="280"/>
      <c r="Y6" s="280"/>
      <c r="Z6" s="280"/>
      <c r="AA6" s="280"/>
      <c r="AB6" s="279"/>
    </row>
    <row r="7" spans="1:28" s="265" customFormat="1" ht="27.75" customHeight="1" x14ac:dyDescent="0.25">
      <c r="A7" s="279"/>
      <c r="B7" s="280" t="s">
        <v>50</v>
      </c>
      <c r="C7" s="647" t="s">
        <v>339</v>
      </c>
      <c r="D7" s="648"/>
      <c r="E7" s="648"/>
      <c r="F7" s="648"/>
      <c r="G7" s="648"/>
      <c r="H7" s="649"/>
      <c r="I7" s="281"/>
      <c r="J7" s="654"/>
      <c r="K7" s="654"/>
      <c r="L7" s="654"/>
      <c r="M7" s="654"/>
      <c r="N7" s="655" t="s">
        <v>157</v>
      </c>
      <c r="O7" s="655"/>
      <c r="P7" s="655"/>
      <c r="Q7" s="655"/>
      <c r="R7" s="655"/>
      <c r="S7" s="655"/>
      <c r="T7" s="655"/>
      <c r="U7" s="643">
        <f>BEMSdar!$E$11</f>
        <v>17318.154749999998</v>
      </c>
      <c r="V7" s="644"/>
      <c r="W7" s="644"/>
      <c r="X7" s="644"/>
      <c r="Y7" s="644"/>
      <c r="Z7" s="644"/>
      <c r="AA7" s="645"/>
      <c r="AB7" s="279"/>
    </row>
    <row r="8" spans="1:28" s="265" customFormat="1" ht="9" customHeight="1" x14ac:dyDescent="0.25">
      <c r="A8" s="279"/>
      <c r="B8" s="280"/>
      <c r="C8" s="282"/>
      <c r="D8" s="283"/>
      <c r="E8" s="283"/>
      <c r="F8" s="283"/>
      <c r="G8" s="283"/>
      <c r="H8" s="283"/>
      <c r="I8" s="281"/>
      <c r="J8" s="281"/>
      <c r="K8" s="281"/>
      <c r="L8" s="281"/>
      <c r="M8" s="281"/>
      <c r="N8" s="284"/>
      <c r="O8" s="284"/>
      <c r="P8" s="284"/>
      <c r="Q8" s="284"/>
      <c r="R8" s="284"/>
      <c r="S8" s="284"/>
      <c r="T8" s="284"/>
      <c r="U8" s="280"/>
      <c r="V8" s="280"/>
      <c r="W8" s="280"/>
      <c r="X8" s="280"/>
      <c r="Y8" s="280"/>
      <c r="Z8" s="280"/>
      <c r="AA8" s="280"/>
      <c r="AB8" s="279"/>
    </row>
    <row r="9" spans="1:28" s="265" customFormat="1" ht="33" customHeight="1" x14ac:dyDescent="0.25">
      <c r="A9" s="279"/>
      <c r="B9" s="280" t="s">
        <v>52</v>
      </c>
      <c r="C9" s="647" t="s">
        <v>134</v>
      </c>
      <c r="D9" s="648"/>
      <c r="E9" s="648"/>
      <c r="F9" s="648"/>
      <c r="G9" s="648"/>
      <c r="H9" s="649"/>
      <c r="I9" s="281"/>
      <c r="J9" s="654"/>
      <c r="K9" s="654"/>
      <c r="L9" s="654"/>
      <c r="M9" s="654"/>
      <c r="N9" s="655" t="s">
        <v>326</v>
      </c>
      <c r="O9" s="655"/>
      <c r="P9" s="655"/>
      <c r="Q9" s="655"/>
      <c r="R9" s="655"/>
      <c r="S9" s="655"/>
      <c r="T9" s="655"/>
      <c r="U9" s="646">
        <f>BEMSdar!$E$13</f>
        <v>444.05525000000125</v>
      </c>
      <c r="V9" s="646"/>
      <c r="W9" s="646"/>
      <c r="X9" s="646"/>
      <c r="Y9" s="646"/>
      <c r="Z9" s="646"/>
      <c r="AA9" s="646"/>
      <c r="AB9" s="279"/>
    </row>
    <row r="10" spans="1:28" s="264" customFormat="1" ht="22.5" customHeight="1" x14ac:dyDescent="0.25">
      <c r="A10" s="285"/>
      <c r="B10" s="285"/>
      <c r="C10" s="285"/>
      <c r="D10" s="286"/>
      <c r="E10" s="287"/>
      <c r="F10" s="288"/>
      <c r="G10" s="289"/>
      <c r="H10" s="289"/>
      <c r="I10" s="290"/>
      <c r="J10" s="291"/>
      <c r="K10" s="289"/>
      <c r="L10" s="292"/>
      <c r="M10" s="293"/>
      <c r="N10" s="289"/>
      <c r="O10" s="289"/>
      <c r="P10" s="289"/>
      <c r="Q10" s="289"/>
      <c r="R10" s="289"/>
      <c r="S10" s="289"/>
      <c r="T10" s="289"/>
      <c r="U10" s="281"/>
      <c r="V10" s="289"/>
      <c r="W10" s="289"/>
      <c r="X10" s="289"/>
      <c r="Y10" s="289"/>
      <c r="Z10" s="289"/>
      <c r="AA10" s="289"/>
      <c r="AB10" s="285"/>
    </row>
    <row r="11" spans="1:28" s="265" customFormat="1" ht="18" x14ac:dyDescent="0.25">
      <c r="A11" s="640" t="s">
        <v>54</v>
      </c>
      <c r="B11" s="640"/>
      <c r="C11" s="640"/>
      <c r="D11" s="640"/>
      <c r="E11" s="640"/>
      <c r="F11" s="640"/>
      <c r="G11" s="640"/>
      <c r="H11" s="640"/>
      <c r="I11" s="640"/>
      <c r="J11" s="640"/>
      <c r="K11" s="640"/>
      <c r="L11" s="640"/>
      <c r="M11" s="640"/>
      <c r="N11" s="281"/>
      <c r="O11" s="281"/>
      <c r="P11" s="294"/>
      <c r="Q11" s="281"/>
      <c r="R11" s="281"/>
      <c r="S11" s="281"/>
      <c r="T11" s="281"/>
      <c r="U11" s="281"/>
      <c r="V11" s="281"/>
      <c r="W11" s="281"/>
      <c r="X11" s="281"/>
      <c r="Y11" s="281"/>
      <c r="Z11" s="281"/>
      <c r="AA11" s="281"/>
      <c r="AB11" s="279"/>
    </row>
    <row r="12" spans="1:28" s="265" customFormat="1" ht="18" x14ac:dyDescent="0.25">
      <c r="A12" s="640" t="s">
        <v>55</v>
      </c>
      <c r="B12" s="640"/>
      <c r="C12" s="640"/>
      <c r="D12" s="640"/>
      <c r="E12" s="640"/>
      <c r="F12" s="640"/>
      <c r="G12" s="640"/>
      <c r="H12" s="640"/>
      <c r="I12" s="640"/>
      <c r="J12" s="640"/>
      <c r="K12" s="640"/>
      <c r="L12" s="640"/>
      <c r="M12" s="640"/>
      <c r="N12" s="281"/>
      <c r="O12" s="281"/>
      <c r="P12" s="294"/>
      <c r="Q12" s="281"/>
      <c r="R12" s="281"/>
      <c r="S12" s="281"/>
      <c r="T12" s="281"/>
      <c r="U12" s="281"/>
      <c r="V12" s="281"/>
      <c r="W12" s="281"/>
      <c r="X12" s="281"/>
      <c r="Y12" s="281"/>
      <c r="Z12" s="281"/>
      <c r="AA12" s="281"/>
      <c r="AB12" s="279"/>
    </row>
    <row r="13" spans="1:28" s="265" customFormat="1" ht="18" x14ac:dyDescent="0.25">
      <c r="A13" s="640" t="s">
        <v>89</v>
      </c>
      <c r="B13" s="640"/>
      <c r="C13" s="640"/>
      <c r="D13" s="640"/>
      <c r="E13" s="640"/>
      <c r="F13" s="640"/>
      <c r="G13" s="640"/>
      <c r="H13" s="640"/>
      <c r="I13" s="640"/>
      <c r="J13" s="640"/>
      <c r="K13" s="640"/>
      <c r="L13" s="640"/>
      <c r="M13" s="640"/>
      <c r="N13" s="281"/>
      <c r="O13" s="281"/>
      <c r="P13" s="294"/>
      <c r="Q13" s="281"/>
      <c r="R13" s="281"/>
      <c r="S13" s="281"/>
      <c r="T13" s="281"/>
      <c r="U13" s="281"/>
      <c r="V13" s="281"/>
      <c r="W13" s="281"/>
      <c r="X13" s="281"/>
      <c r="Y13" s="281"/>
      <c r="Z13" s="281"/>
      <c r="AA13" s="281"/>
      <c r="AB13" s="279"/>
    </row>
    <row r="14" spans="1:28" s="265" customFormat="1" ht="18" x14ac:dyDescent="0.25">
      <c r="A14" s="640" t="s">
        <v>90</v>
      </c>
      <c r="B14" s="640"/>
      <c r="C14" s="640"/>
      <c r="D14" s="640"/>
      <c r="E14" s="640"/>
      <c r="F14" s="640"/>
      <c r="G14" s="640"/>
      <c r="H14" s="640"/>
      <c r="I14" s="640"/>
      <c r="J14" s="640"/>
      <c r="K14" s="640"/>
      <c r="L14" s="640"/>
      <c r="M14" s="640"/>
      <c r="N14" s="281"/>
      <c r="O14" s="281"/>
      <c r="P14" s="294"/>
      <c r="Q14" s="281"/>
      <c r="R14" s="281"/>
      <c r="S14" s="281"/>
      <c r="T14" s="281"/>
      <c r="U14" s="281"/>
      <c r="V14" s="281"/>
      <c r="W14" s="281"/>
      <c r="X14" s="281"/>
      <c r="Y14" s="281"/>
      <c r="Z14" s="281"/>
      <c r="AA14" s="281"/>
      <c r="AB14" s="279"/>
    </row>
    <row r="15" spans="1:28" s="265" customFormat="1" ht="15" customHeight="1" x14ac:dyDescent="0.25">
      <c r="A15" s="640" t="s">
        <v>85</v>
      </c>
      <c r="B15" s="640"/>
      <c r="C15" s="640"/>
      <c r="D15" s="640"/>
      <c r="E15" s="640"/>
      <c r="F15" s="640"/>
      <c r="G15" s="640"/>
      <c r="H15" s="640"/>
      <c r="I15" s="640"/>
      <c r="J15" s="640"/>
      <c r="K15" s="640"/>
      <c r="L15" s="640"/>
      <c r="M15" s="640"/>
      <c r="N15" s="281"/>
      <c r="O15" s="281"/>
      <c r="P15" s="294"/>
      <c r="Q15" s="281"/>
      <c r="R15" s="281"/>
      <c r="S15" s="281"/>
      <c r="T15" s="281"/>
      <c r="U15" s="281"/>
      <c r="V15" s="281"/>
      <c r="W15" s="281"/>
      <c r="X15" s="281"/>
      <c r="Y15" s="281"/>
      <c r="Z15" s="281"/>
      <c r="AA15" s="281"/>
      <c r="AB15" s="279"/>
    </row>
    <row r="16" spans="1:28" s="255" customFormat="1" ht="18" x14ac:dyDescent="0.25">
      <c r="A16" s="295"/>
      <c r="B16" s="295"/>
      <c r="C16" s="295"/>
      <c r="D16" s="295"/>
      <c r="E16" s="295"/>
      <c r="F16" s="295"/>
      <c r="G16" s="296"/>
      <c r="H16" s="296"/>
      <c r="I16" s="296"/>
      <c r="J16" s="296"/>
      <c r="K16" s="296"/>
      <c r="L16" s="296"/>
      <c r="M16" s="296"/>
      <c r="N16" s="296"/>
      <c r="O16" s="296"/>
      <c r="P16" s="296"/>
      <c r="Q16" s="296"/>
      <c r="R16" s="296"/>
      <c r="S16" s="296"/>
      <c r="T16" s="296"/>
      <c r="U16" s="296"/>
      <c r="V16" s="296"/>
      <c r="W16" s="296"/>
      <c r="X16" s="296"/>
      <c r="Y16" s="296"/>
      <c r="Z16" s="296"/>
      <c r="AA16" s="297"/>
      <c r="AB16" s="295"/>
    </row>
    <row r="17" spans="1:28" s="255" customFormat="1" ht="51" customHeight="1" x14ac:dyDescent="0.25">
      <c r="A17" s="659" t="s">
        <v>91</v>
      </c>
      <c r="B17" s="659" t="s">
        <v>61</v>
      </c>
      <c r="C17" s="659" t="s">
        <v>92</v>
      </c>
      <c r="D17" s="659" t="s">
        <v>93</v>
      </c>
      <c r="E17" s="660" t="s">
        <v>94</v>
      </c>
      <c r="F17" s="661" t="s">
        <v>95</v>
      </c>
      <c r="G17" s="661" t="s">
        <v>96</v>
      </c>
      <c r="H17" s="663" t="s">
        <v>97</v>
      </c>
      <c r="I17" s="663"/>
      <c r="J17" s="663"/>
      <c r="K17" s="663"/>
      <c r="L17" s="663"/>
      <c r="M17" s="663"/>
      <c r="N17" s="663"/>
      <c r="O17" s="663"/>
      <c r="P17" s="663"/>
      <c r="Q17" s="663"/>
      <c r="R17" s="663"/>
      <c r="S17" s="663"/>
      <c r="T17" s="664" t="s">
        <v>98</v>
      </c>
      <c r="U17" s="664" t="s">
        <v>99</v>
      </c>
      <c r="V17" s="664"/>
      <c r="W17" s="664" t="s">
        <v>100</v>
      </c>
      <c r="X17" s="664"/>
      <c r="Y17" s="661" t="s">
        <v>75</v>
      </c>
      <c r="Z17" s="661"/>
      <c r="AA17" s="660" t="s">
        <v>101</v>
      </c>
      <c r="AB17" s="662" t="s">
        <v>102</v>
      </c>
    </row>
    <row r="18" spans="1:28" s="259" customFormat="1" ht="22.5" customHeight="1" x14ac:dyDescent="0.25">
      <c r="A18" s="659"/>
      <c r="B18" s="659"/>
      <c r="C18" s="659"/>
      <c r="D18" s="659"/>
      <c r="E18" s="660"/>
      <c r="F18" s="661"/>
      <c r="G18" s="661"/>
      <c r="H18" s="256" t="s">
        <v>103</v>
      </c>
      <c r="I18" s="256" t="s">
        <v>104</v>
      </c>
      <c r="J18" s="256" t="s">
        <v>105</v>
      </c>
      <c r="K18" s="256" t="s">
        <v>106</v>
      </c>
      <c r="L18" s="256" t="s">
        <v>107</v>
      </c>
      <c r="M18" s="256" t="s">
        <v>108</v>
      </c>
      <c r="N18" s="256" t="s">
        <v>109</v>
      </c>
      <c r="O18" s="256" t="s">
        <v>110</v>
      </c>
      <c r="P18" s="256" t="s">
        <v>111</v>
      </c>
      <c r="Q18" s="256" t="s">
        <v>112</v>
      </c>
      <c r="R18" s="256" t="s">
        <v>113</v>
      </c>
      <c r="S18" s="256" t="s">
        <v>114</v>
      </c>
      <c r="T18" s="664"/>
      <c r="U18" s="257" t="s">
        <v>115</v>
      </c>
      <c r="V18" s="257" t="s">
        <v>116</v>
      </c>
      <c r="W18" s="257" t="s">
        <v>115</v>
      </c>
      <c r="X18" s="257" t="s">
        <v>116</v>
      </c>
      <c r="Y18" s="256" t="s">
        <v>115</v>
      </c>
      <c r="Z18" s="258" t="s">
        <v>116</v>
      </c>
      <c r="AA18" s="660"/>
      <c r="AB18" s="662"/>
    </row>
    <row r="19" spans="1:28" s="264" customFormat="1" ht="74.25" customHeight="1" x14ac:dyDescent="0.25">
      <c r="A19" s="260">
        <v>1</v>
      </c>
      <c r="B19" s="260" t="s">
        <v>365</v>
      </c>
      <c r="C19" s="260" t="s">
        <v>378</v>
      </c>
      <c r="D19" s="412" t="s">
        <v>371</v>
      </c>
      <c r="E19" s="415">
        <v>65000</v>
      </c>
      <c r="F19" s="414" t="s">
        <v>179</v>
      </c>
      <c r="G19" s="419">
        <v>0.95</v>
      </c>
      <c r="H19" s="473">
        <v>0.99976591760299627</v>
      </c>
      <c r="I19" s="421"/>
      <c r="J19" s="473">
        <v>0.99375000000000002</v>
      </c>
      <c r="K19" s="421"/>
      <c r="L19" s="421"/>
      <c r="M19" s="421"/>
      <c r="N19" s="421"/>
      <c r="O19" s="421"/>
      <c r="P19" s="421"/>
      <c r="Q19" s="421"/>
      <c r="R19" s="421"/>
      <c r="S19" s="421"/>
      <c r="T19" s="261">
        <f t="shared" ref="T19:T25" si="0">ROUNDUP((E19/4999.99)*10,-1)</f>
        <v>140</v>
      </c>
      <c r="U19" s="416"/>
      <c r="V19" s="417"/>
      <c r="W19" s="262" t="s">
        <v>133</v>
      </c>
      <c r="X19" s="262" t="s">
        <v>133</v>
      </c>
      <c r="Y19" s="263">
        <f t="shared" ref="Y19" si="1">IF(W19="Y",T19,0)</f>
        <v>0</v>
      </c>
      <c r="Z19" s="263">
        <f t="shared" ref="Z19" si="2">IF(X19="Y",T19*2,0)</f>
        <v>0</v>
      </c>
      <c r="AA19" s="263">
        <f t="shared" ref="AA19" si="3">Y19+Z19</f>
        <v>0</v>
      </c>
      <c r="AB19" s="413"/>
    </row>
    <row r="20" spans="1:28" s="264" customFormat="1" ht="74.25" customHeight="1" x14ac:dyDescent="0.25">
      <c r="A20" s="260">
        <f>A19+1</f>
        <v>2</v>
      </c>
      <c r="B20" s="260" t="s">
        <v>366</v>
      </c>
      <c r="C20" s="420" t="s">
        <v>379</v>
      </c>
      <c r="D20" s="412" t="s">
        <v>372</v>
      </c>
      <c r="E20" s="415">
        <v>189000</v>
      </c>
      <c r="F20" s="414" t="s">
        <v>380</v>
      </c>
      <c r="G20" s="419">
        <v>0.85</v>
      </c>
      <c r="H20" s="473">
        <v>0.99976591760299627</v>
      </c>
      <c r="I20" s="421"/>
      <c r="J20" s="421"/>
      <c r="K20" s="421"/>
      <c r="L20" s="421"/>
      <c r="M20" s="421"/>
      <c r="N20" s="421"/>
      <c r="O20" s="421"/>
      <c r="P20" s="421"/>
      <c r="Q20" s="421"/>
      <c r="R20" s="421"/>
      <c r="S20" s="421"/>
      <c r="T20" s="261">
        <f t="shared" si="0"/>
        <v>380</v>
      </c>
      <c r="U20" s="416"/>
      <c r="V20" s="417"/>
      <c r="W20" s="262" t="s">
        <v>133</v>
      </c>
      <c r="X20" s="262" t="s">
        <v>133</v>
      </c>
      <c r="Y20" s="263">
        <f t="shared" ref="Y20:Y23" si="4">IF(W20="Y",T20,0)</f>
        <v>0</v>
      </c>
      <c r="Z20" s="263">
        <f t="shared" ref="Z20:Z23" si="5">IF(X20="Y",T20*2,0)</f>
        <v>0</v>
      </c>
      <c r="AA20" s="263">
        <f t="shared" ref="AA20:AA23" si="6">Y20+Z20</f>
        <v>0</v>
      </c>
      <c r="AB20" s="413"/>
    </row>
    <row r="21" spans="1:28" s="264" customFormat="1" ht="74.25" customHeight="1" x14ac:dyDescent="0.25">
      <c r="A21" s="260">
        <f t="shared" ref="A21:A25" si="7">A20+1</f>
        <v>3</v>
      </c>
      <c r="B21" s="260" t="s">
        <v>377</v>
      </c>
      <c r="C21" s="260" t="s">
        <v>381</v>
      </c>
      <c r="D21" s="412" t="s">
        <v>375</v>
      </c>
      <c r="E21" s="415">
        <v>150</v>
      </c>
      <c r="F21" s="414" t="s">
        <v>380</v>
      </c>
      <c r="G21" s="419">
        <v>0.85</v>
      </c>
      <c r="H21" s="473">
        <v>0.99988295880149813</v>
      </c>
      <c r="I21" s="421"/>
      <c r="J21" s="421"/>
      <c r="K21" s="421"/>
      <c r="L21" s="421"/>
      <c r="M21" s="421"/>
      <c r="N21" s="421"/>
      <c r="O21" s="421"/>
      <c r="P21" s="421"/>
      <c r="Q21" s="421"/>
      <c r="R21" s="421"/>
      <c r="S21" s="421"/>
      <c r="T21" s="261">
        <f t="shared" si="0"/>
        <v>10</v>
      </c>
      <c r="U21" s="416"/>
      <c r="V21" s="417"/>
      <c r="W21" s="262" t="s">
        <v>133</v>
      </c>
      <c r="X21" s="262" t="s">
        <v>133</v>
      </c>
      <c r="Y21" s="263">
        <f t="shared" si="4"/>
        <v>0</v>
      </c>
      <c r="Z21" s="263">
        <f t="shared" si="5"/>
        <v>0</v>
      </c>
      <c r="AA21" s="263">
        <f t="shared" si="6"/>
        <v>0</v>
      </c>
      <c r="AB21" s="413"/>
    </row>
    <row r="22" spans="1:28" s="264" customFormat="1" ht="74.25" customHeight="1" x14ac:dyDescent="0.25">
      <c r="A22" s="260">
        <f t="shared" si="7"/>
        <v>4</v>
      </c>
      <c r="B22" s="260" t="s">
        <v>367</v>
      </c>
      <c r="C22" s="260" t="s">
        <v>382</v>
      </c>
      <c r="D22" s="412" t="s">
        <v>373</v>
      </c>
      <c r="E22" s="415">
        <v>11990</v>
      </c>
      <c r="F22" s="414" t="s">
        <v>179</v>
      </c>
      <c r="G22" s="419">
        <v>0.92</v>
      </c>
      <c r="H22" s="473">
        <v>0.99988295880149813</v>
      </c>
      <c r="I22" s="421"/>
      <c r="J22" s="421"/>
      <c r="K22" s="421"/>
      <c r="L22" s="421"/>
      <c r="M22" s="421"/>
      <c r="N22" s="421"/>
      <c r="O22" s="421"/>
      <c r="P22" s="421"/>
      <c r="Q22" s="421"/>
      <c r="R22" s="421"/>
      <c r="S22" s="421"/>
      <c r="T22" s="261">
        <f t="shared" si="0"/>
        <v>30</v>
      </c>
      <c r="U22" s="416"/>
      <c r="V22" s="417"/>
      <c r="W22" s="262" t="s">
        <v>133</v>
      </c>
      <c r="X22" s="262" t="s">
        <v>133</v>
      </c>
      <c r="Y22" s="263">
        <f t="shared" si="4"/>
        <v>0</v>
      </c>
      <c r="Z22" s="263">
        <f t="shared" si="5"/>
        <v>0</v>
      </c>
      <c r="AA22" s="263">
        <f t="shared" si="6"/>
        <v>0</v>
      </c>
      <c r="AB22" s="413"/>
    </row>
    <row r="23" spans="1:28" s="264" customFormat="1" ht="74.25" customHeight="1" x14ac:dyDescent="0.25">
      <c r="A23" s="260">
        <f t="shared" si="7"/>
        <v>5</v>
      </c>
      <c r="B23" s="260" t="s">
        <v>353</v>
      </c>
      <c r="C23" s="260" t="s">
        <v>383</v>
      </c>
      <c r="D23" s="412" t="s">
        <v>354</v>
      </c>
      <c r="E23" s="415">
        <v>97000</v>
      </c>
      <c r="F23" s="414" t="s">
        <v>178</v>
      </c>
      <c r="G23" s="419">
        <v>0.96</v>
      </c>
      <c r="H23" s="473">
        <v>0.99903846153846154</v>
      </c>
      <c r="I23" s="421"/>
      <c r="J23" s="421"/>
      <c r="K23" s="421"/>
      <c r="L23" s="421"/>
      <c r="M23" s="421"/>
      <c r="N23" s="421"/>
      <c r="O23" s="421"/>
      <c r="P23" s="421"/>
      <c r="Q23" s="421"/>
      <c r="R23" s="421"/>
      <c r="S23" s="421"/>
      <c r="T23" s="261">
        <f t="shared" si="0"/>
        <v>200</v>
      </c>
      <c r="U23" s="416"/>
      <c r="V23" s="417"/>
      <c r="W23" s="262" t="s">
        <v>133</v>
      </c>
      <c r="X23" s="262" t="s">
        <v>133</v>
      </c>
      <c r="Y23" s="263">
        <f t="shared" si="4"/>
        <v>0</v>
      </c>
      <c r="Z23" s="263">
        <f t="shared" si="5"/>
        <v>0</v>
      </c>
      <c r="AA23" s="263">
        <f t="shared" si="6"/>
        <v>0</v>
      </c>
      <c r="AB23" s="413"/>
    </row>
    <row r="24" spans="1:28" s="454" customFormat="1" ht="74.25" customHeight="1" x14ac:dyDescent="0.2">
      <c r="A24" s="260">
        <f t="shared" si="7"/>
        <v>6</v>
      </c>
      <c r="B24" s="452" t="s">
        <v>369</v>
      </c>
      <c r="C24" s="451" t="s">
        <v>384</v>
      </c>
      <c r="D24" s="412" t="s">
        <v>364</v>
      </c>
      <c r="E24" s="415">
        <v>24999</v>
      </c>
      <c r="F24" s="414" t="s">
        <v>380</v>
      </c>
      <c r="G24" s="419">
        <v>0.88</v>
      </c>
      <c r="H24" s="472">
        <v>0.99988295880149813</v>
      </c>
      <c r="I24" s="194"/>
      <c r="J24" s="194"/>
      <c r="K24" s="451"/>
      <c r="L24" s="456"/>
      <c r="M24" s="455"/>
      <c r="N24" s="455"/>
      <c r="O24" s="194"/>
      <c r="P24" s="194"/>
      <c r="Q24" s="194"/>
      <c r="R24" s="194"/>
      <c r="S24" s="194"/>
      <c r="T24" s="261">
        <f t="shared" si="0"/>
        <v>50</v>
      </c>
      <c r="U24" s="194"/>
      <c r="V24" s="194"/>
      <c r="W24" s="462" t="s">
        <v>133</v>
      </c>
      <c r="X24" s="462" t="s">
        <v>133</v>
      </c>
      <c r="Y24" s="463">
        <f t="shared" ref="Y24:Y25" si="8">IF(W24="Y",T24,0)</f>
        <v>0</v>
      </c>
      <c r="Z24" s="463">
        <f t="shared" ref="Z24:Z25" si="9">IF(X24="Y",T24*2,0)</f>
        <v>0</v>
      </c>
      <c r="AA24" s="463">
        <f t="shared" ref="AA24:AA25" si="10">Y24+Z24</f>
        <v>0</v>
      </c>
      <c r="AB24" s="413"/>
    </row>
    <row r="25" spans="1:28" s="454" customFormat="1" ht="74.25" customHeight="1" x14ac:dyDescent="0.2">
      <c r="A25" s="260">
        <f t="shared" si="7"/>
        <v>7</v>
      </c>
      <c r="B25" s="452" t="s">
        <v>368</v>
      </c>
      <c r="C25" s="451" t="s">
        <v>385</v>
      </c>
      <c r="D25" s="412" t="s">
        <v>374</v>
      </c>
      <c r="E25" s="415">
        <v>3850</v>
      </c>
      <c r="F25" s="414" t="s">
        <v>380</v>
      </c>
      <c r="G25" s="419">
        <v>0.88</v>
      </c>
      <c r="H25" s="472">
        <v>0.99988295880149813</v>
      </c>
      <c r="I25" s="194"/>
      <c r="J25" s="194"/>
      <c r="K25" s="451"/>
      <c r="L25" s="456"/>
      <c r="M25" s="455"/>
      <c r="N25" s="451"/>
      <c r="O25" s="451"/>
      <c r="P25" s="194"/>
      <c r="Q25" s="194"/>
      <c r="R25" s="194"/>
      <c r="S25" s="194"/>
      <c r="T25" s="261">
        <f t="shared" si="0"/>
        <v>10</v>
      </c>
      <c r="U25" s="194"/>
      <c r="V25" s="194"/>
      <c r="W25" s="462" t="s">
        <v>133</v>
      </c>
      <c r="X25" s="462" t="s">
        <v>133</v>
      </c>
      <c r="Y25" s="463">
        <f t="shared" si="8"/>
        <v>0</v>
      </c>
      <c r="Z25" s="463">
        <f t="shared" si="9"/>
        <v>0</v>
      </c>
      <c r="AA25" s="463">
        <f t="shared" si="10"/>
        <v>0</v>
      </c>
      <c r="AB25" s="413"/>
    </row>
    <row r="26" spans="1:28" s="454" customFormat="1" ht="74.25" customHeight="1" x14ac:dyDescent="0.2">
      <c r="A26" s="260">
        <f>A25+1</f>
        <v>8</v>
      </c>
      <c r="B26" s="452" t="s">
        <v>370</v>
      </c>
      <c r="C26" s="451" t="s">
        <v>385</v>
      </c>
      <c r="D26" s="412" t="s">
        <v>374</v>
      </c>
      <c r="E26" s="415">
        <v>3850</v>
      </c>
      <c r="F26" s="414" t="s">
        <v>380</v>
      </c>
      <c r="G26" s="419">
        <v>0.88</v>
      </c>
      <c r="H26" s="472">
        <v>0.99988295880149813</v>
      </c>
      <c r="I26" s="194"/>
      <c r="J26" s="194"/>
      <c r="K26" s="451"/>
      <c r="L26" s="456"/>
      <c r="M26" s="455"/>
      <c r="N26" s="451"/>
      <c r="O26" s="194"/>
      <c r="P26" s="194"/>
      <c r="Q26" s="194"/>
      <c r="R26" s="194"/>
      <c r="S26" s="194"/>
      <c r="T26" s="261">
        <f>ROUNDUP((E26/4999.99)*10,-1)</f>
        <v>10</v>
      </c>
      <c r="U26" s="194"/>
      <c r="V26" s="194"/>
      <c r="W26" s="462" t="s">
        <v>133</v>
      </c>
      <c r="X26" s="462" t="s">
        <v>133</v>
      </c>
      <c r="Y26" s="463">
        <f>IF(W26="Y",T26,0)</f>
        <v>0</v>
      </c>
      <c r="Z26" s="463">
        <f>IF(X26="Y",T26*2,0)</f>
        <v>0</v>
      </c>
      <c r="AA26" s="463">
        <f>Y26+Z26</f>
        <v>0</v>
      </c>
      <c r="AB26" s="413"/>
    </row>
    <row r="27" spans="1:28" s="454" customFormat="1" ht="74.25" customHeight="1" x14ac:dyDescent="0.2">
      <c r="A27" s="260">
        <f>A26+1</f>
        <v>9</v>
      </c>
      <c r="B27" s="452" t="s">
        <v>346</v>
      </c>
      <c r="C27" s="451" t="s">
        <v>386</v>
      </c>
      <c r="D27" s="412" t="s">
        <v>355</v>
      </c>
      <c r="E27" s="415">
        <v>49950</v>
      </c>
      <c r="F27" s="414" t="s">
        <v>380</v>
      </c>
      <c r="G27" s="419">
        <v>0.85</v>
      </c>
      <c r="H27" s="472">
        <v>0.99086538461538465</v>
      </c>
      <c r="I27" s="472">
        <v>0.97789999999999999</v>
      </c>
      <c r="J27" s="472">
        <v>0.97644230769230766</v>
      </c>
      <c r="K27" s="451"/>
      <c r="L27" s="456"/>
      <c r="M27" s="455"/>
      <c r="N27" s="451"/>
      <c r="O27" s="451"/>
      <c r="P27" s="470"/>
      <c r="Q27" s="451"/>
      <c r="R27" s="194"/>
      <c r="S27" s="194"/>
      <c r="T27" s="261">
        <f>ROUNDUP((E27/4999.99)*10,-1)</f>
        <v>100</v>
      </c>
      <c r="U27" s="194"/>
      <c r="V27" s="194"/>
      <c r="W27" s="462" t="s">
        <v>133</v>
      </c>
      <c r="X27" s="462" t="s">
        <v>133</v>
      </c>
      <c r="Y27" s="463">
        <f>IF(W27="Y",T27,0)</f>
        <v>0</v>
      </c>
      <c r="Z27" s="463">
        <f>IF(X27="Y",T27*2,0)</f>
        <v>0</v>
      </c>
      <c r="AA27" s="463">
        <f>Y27+Z27</f>
        <v>0</v>
      </c>
      <c r="AB27" s="413"/>
    </row>
    <row r="28" spans="1:28" s="454" customFormat="1" ht="74.25" customHeight="1" x14ac:dyDescent="0.2">
      <c r="A28" s="260">
        <f>A27+1</f>
        <v>10</v>
      </c>
      <c r="B28" s="452" t="s">
        <v>376</v>
      </c>
      <c r="C28" s="451" t="s">
        <v>387</v>
      </c>
      <c r="D28" s="412" t="s">
        <v>374</v>
      </c>
      <c r="E28" s="415">
        <v>1400</v>
      </c>
      <c r="F28" s="414" t="s">
        <v>178</v>
      </c>
      <c r="G28" s="419">
        <v>0.99</v>
      </c>
      <c r="H28" s="472">
        <v>0.9996488764044944</v>
      </c>
      <c r="I28" s="194"/>
      <c r="J28" s="194"/>
      <c r="K28" s="451"/>
      <c r="L28" s="456"/>
      <c r="M28" s="455"/>
      <c r="N28" s="451"/>
      <c r="O28" s="194"/>
      <c r="P28" s="194"/>
      <c r="Q28" s="194"/>
      <c r="R28" s="194"/>
      <c r="S28" s="194"/>
      <c r="T28" s="261">
        <f>ROUNDUP((E28/4999.99)*10,-1)</f>
        <v>10</v>
      </c>
      <c r="U28" s="194"/>
      <c r="V28" s="194"/>
      <c r="W28" s="262" t="s">
        <v>133</v>
      </c>
      <c r="X28" s="462" t="s">
        <v>133</v>
      </c>
      <c r="Y28" s="463">
        <f>IF(W28="Y",T28,0)</f>
        <v>0</v>
      </c>
      <c r="Z28" s="463">
        <f>IF(X28="Y",T28*2,0)</f>
        <v>0</v>
      </c>
      <c r="AA28" s="463">
        <f>Y28+Z28</f>
        <v>0</v>
      </c>
      <c r="AB28" s="413"/>
    </row>
    <row r="29" spans="1:28" s="454" customFormat="1" ht="74.25" customHeight="1" x14ac:dyDescent="0.2">
      <c r="A29" s="260">
        <f t="shared" ref="A29:A32" si="11">A28+1</f>
        <v>11</v>
      </c>
      <c r="B29" s="452" t="s">
        <v>400</v>
      </c>
      <c r="C29" s="451" t="s">
        <v>403</v>
      </c>
      <c r="D29" s="412" t="s">
        <v>399</v>
      </c>
      <c r="E29" s="415">
        <v>7000</v>
      </c>
      <c r="F29" s="414" t="s">
        <v>380</v>
      </c>
      <c r="G29" s="419">
        <v>0.85</v>
      </c>
      <c r="H29" s="451"/>
      <c r="I29" s="472">
        <v>0.99711538461538463</v>
      </c>
      <c r="J29" s="194"/>
      <c r="K29" s="451"/>
      <c r="L29" s="456"/>
      <c r="M29" s="455"/>
      <c r="N29" s="451"/>
      <c r="O29" s="451"/>
      <c r="P29" s="194"/>
      <c r="Q29" s="194"/>
      <c r="R29" s="194"/>
      <c r="S29" s="194"/>
      <c r="T29" s="261">
        <f t="shared" ref="T29:T32" si="12">ROUNDUP((E29/4999.99)*10,-1)</f>
        <v>20</v>
      </c>
      <c r="U29" s="194"/>
      <c r="V29" s="194"/>
      <c r="W29" s="462" t="s">
        <v>133</v>
      </c>
      <c r="X29" s="462" t="s">
        <v>133</v>
      </c>
      <c r="Y29" s="463">
        <f t="shared" ref="Y29:Y36" si="13">IF(W29="Y",T29,0)</f>
        <v>0</v>
      </c>
      <c r="Z29" s="463">
        <f t="shared" ref="Z29:Z36" si="14">IF(X29="Y",T29*2,0)</f>
        <v>0</v>
      </c>
      <c r="AA29" s="463">
        <f t="shared" ref="AA29:AA31" si="15">Y29+Z29</f>
        <v>0</v>
      </c>
      <c r="AB29" s="413"/>
    </row>
    <row r="30" spans="1:28" s="454" customFormat="1" ht="74.25" customHeight="1" x14ac:dyDescent="0.2">
      <c r="A30" s="260">
        <f t="shared" si="11"/>
        <v>12</v>
      </c>
      <c r="B30" s="452" t="s">
        <v>391</v>
      </c>
      <c r="C30" s="451" t="s">
        <v>404</v>
      </c>
      <c r="D30" s="412" t="s">
        <v>398</v>
      </c>
      <c r="E30" s="415">
        <v>1350</v>
      </c>
      <c r="F30" s="414" t="s">
        <v>380</v>
      </c>
      <c r="G30" s="419">
        <v>0.85</v>
      </c>
      <c r="H30" s="451"/>
      <c r="I30" s="472">
        <v>0.99471153846153848</v>
      </c>
      <c r="J30" s="194"/>
      <c r="K30" s="451"/>
      <c r="L30" s="456"/>
      <c r="M30" s="455"/>
      <c r="N30" s="451"/>
      <c r="O30" s="451"/>
      <c r="P30" s="194"/>
      <c r="Q30" s="194"/>
      <c r="R30" s="194"/>
      <c r="S30" s="194"/>
      <c r="T30" s="261">
        <f t="shared" si="12"/>
        <v>10</v>
      </c>
      <c r="U30" s="194"/>
      <c r="V30" s="194"/>
      <c r="W30" s="462" t="s">
        <v>133</v>
      </c>
      <c r="X30" s="462" t="s">
        <v>133</v>
      </c>
      <c r="Y30" s="463">
        <f t="shared" si="13"/>
        <v>0</v>
      </c>
      <c r="Z30" s="463">
        <f t="shared" si="14"/>
        <v>0</v>
      </c>
      <c r="AA30" s="463">
        <f t="shared" si="15"/>
        <v>0</v>
      </c>
      <c r="AB30" s="413"/>
    </row>
    <row r="31" spans="1:28" s="454" customFormat="1" ht="74.25" customHeight="1" x14ac:dyDescent="0.2">
      <c r="A31" s="260">
        <f t="shared" si="11"/>
        <v>13</v>
      </c>
      <c r="B31" s="452" t="s">
        <v>392</v>
      </c>
      <c r="C31" s="451" t="s">
        <v>405</v>
      </c>
      <c r="D31" s="412" t="s">
        <v>388</v>
      </c>
      <c r="E31" s="415">
        <v>12490</v>
      </c>
      <c r="F31" s="414" t="s">
        <v>380</v>
      </c>
      <c r="G31" s="419">
        <v>0.88</v>
      </c>
      <c r="H31" s="451"/>
      <c r="I31" s="472">
        <v>0.99988295880149813</v>
      </c>
      <c r="J31" s="194"/>
      <c r="K31" s="451"/>
      <c r="L31" s="456"/>
      <c r="M31" s="455"/>
      <c r="N31" s="451"/>
      <c r="O31" s="451"/>
      <c r="P31" s="194"/>
      <c r="Q31" s="194"/>
      <c r="R31" s="194"/>
      <c r="S31" s="194"/>
      <c r="T31" s="261">
        <f t="shared" si="12"/>
        <v>30</v>
      </c>
      <c r="U31" s="194"/>
      <c r="V31" s="194"/>
      <c r="W31" s="462" t="s">
        <v>133</v>
      </c>
      <c r="X31" s="462" t="s">
        <v>133</v>
      </c>
      <c r="Y31" s="463">
        <f t="shared" si="13"/>
        <v>0</v>
      </c>
      <c r="Z31" s="463">
        <f t="shared" si="14"/>
        <v>0</v>
      </c>
      <c r="AA31" s="463">
        <f t="shared" si="15"/>
        <v>0</v>
      </c>
      <c r="AB31" s="413"/>
    </row>
    <row r="32" spans="1:28" s="454" customFormat="1" ht="74.25" customHeight="1" x14ac:dyDescent="0.2">
      <c r="A32" s="260">
        <f t="shared" si="11"/>
        <v>14</v>
      </c>
      <c r="B32" s="452" t="s">
        <v>394</v>
      </c>
      <c r="C32" s="451" t="s">
        <v>405</v>
      </c>
      <c r="D32" s="412" t="s">
        <v>388</v>
      </c>
      <c r="E32" s="415">
        <v>12490</v>
      </c>
      <c r="F32" s="414" t="s">
        <v>380</v>
      </c>
      <c r="G32" s="419">
        <v>0.88</v>
      </c>
      <c r="H32" s="451"/>
      <c r="I32" s="472">
        <v>0.99988295880149813</v>
      </c>
      <c r="J32" s="194"/>
      <c r="K32" s="451"/>
      <c r="L32" s="456"/>
      <c r="M32" s="455"/>
      <c r="N32" s="451"/>
      <c r="O32" s="451"/>
      <c r="P32" s="194"/>
      <c r="Q32" s="194"/>
      <c r="R32" s="194"/>
      <c r="S32" s="194"/>
      <c r="T32" s="261">
        <f t="shared" si="12"/>
        <v>30</v>
      </c>
      <c r="U32" s="194"/>
      <c r="V32" s="194"/>
      <c r="W32" s="462" t="s">
        <v>133</v>
      </c>
      <c r="X32" s="462" t="s">
        <v>133</v>
      </c>
      <c r="Y32" s="463">
        <f t="shared" si="13"/>
        <v>0</v>
      </c>
      <c r="Z32" s="463">
        <f t="shared" si="14"/>
        <v>0</v>
      </c>
      <c r="AA32" s="463">
        <f>Y32+Z32</f>
        <v>0</v>
      </c>
      <c r="AB32" s="413"/>
    </row>
    <row r="33" spans="1:28" s="454" customFormat="1" ht="74.25" customHeight="1" x14ac:dyDescent="0.2">
      <c r="A33" s="260">
        <f>A32+1</f>
        <v>15</v>
      </c>
      <c r="B33" s="452" t="s">
        <v>393</v>
      </c>
      <c r="C33" s="451" t="s">
        <v>386</v>
      </c>
      <c r="D33" s="412" t="s">
        <v>355</v>
      </c>
      <c r="E33" s="415">
        <v>49500</v>
      </c>
      <c r="F33" s="414" t="s">
        <v>380</v>
      </c>
      <c r="G33" s="419">
        <v>0.85</v>
      </c>
      <c r="H33" s="451"/>
      <c r="I33" s="472">
        <v>0.99711538461538463</v>
      </c>
      <c r="J33" s="472">
        <v>0.98221153846153841</v>
      </c>
      <c r="K33" s="451"/>
      <c r="L33" s="456"/>
      <c r="M33" s="455"/>
      <c r="N33" s="451"/>
      <c r="O33" s="451"/>
      <c r="P33" s="194"/>
      <c r="Q33" s="194"/>
      <c r="R33" s="194"/>
      <c r="S33" s="194"/>
      <c r="T33" s="261">
        <f>ROUNDUP((E33/4999.99)*10,-1)</f>
        <v>100</v>
      </c>
      <c r="U33" s="194"/>
      <c r="V33" s="194"/>
      <c r="W33" s="462" t="s">
        <v>133</v>
      </c>
      <c r="X33" s="462" t="s">
        <v>133</v>
      </c>
      <c r="Y33" s="463">
        <f t="shared" si="13"/>
        <v>0</v>
      </c>
      <c r="Z33" s="463">
        <f t="shared" si="14"/>
        <v>0</v>
      </c>
      <c r="AA33" s="463">
        <f>Y33+Z33</f>
        <v>0</v>
      </c>
      <c r="AB33" s="413"/>
    </row>
    <row r="34" spans="1:28" s="454" customFormat="1" ht="74.25" customHeight="1" x14ac:dyDescent="0.2">
      <c r="A34" s="260"/>
      <c r="B34" s="452" t="s">
        <v>424</v>
      </c>
      <c r="C34" s="451" t="s">
        <v>523</v>
      </c>
      <c r="D34" s="412" t="s">
        <v>422</v>
      </c>
      <c r="E34" s="415">
        <v>29500</v>
      </c>
      <c r="F34" s="414" t="s">
        <v>380</v>
      </c>
      <c r="G34" s="419">
        <v>0.85</v>
      </c>
      <c r="H34" s="451"/>
      <c r="I34" s="472"/>
      <c r="J34" s="472">
        <v>0.99471153846153848</v>
      </c>
      <c r="K34" s="451"/>
      <c r="L34" s="456"/>
      <c r="M34" s="455"/>
      <c r="N34" s="451"/>
      <c r="O34" s="451"/>
      <c r="P34" s="194"/>
      <c r="Q34" s="194"/>
      <c r="R34" s="194"/>
      <c r="S34" s="194"/>
      <c r="T34" s="261">
        <f t="shared" ref="T34:T36" si="16">ROUNDUP((E34/4999.99)*10,-1)</f>
        <v>60</v>
      </c>
      <c r="U34" s="194"/>
      <c r="V34" s="194"/>
      <c r="W34" s="462" t="s">
        <v>133</v>
      </c>
      <c r="X34" s="462" t="s">
        <v>133</v>
      </c>
      <c r="Y34" s="463">
        <f t="shared" si="13"/>
        <v>0</v>
      </c>
      <c r="Z34" s="463">
        <f t="shared" si="14"/>
        <v>0</v>
      </c>
      <c r="AA34" s="463">
        <f t="shared" ref="AA34:AA35" si="17">Y34+Z34</f>
        <v>0</v>
      </c>
      <c r="AB34" s="413"/>
    </row>
    <row r="35" spans="1:28" s="454" customFormat="1" ht="74.25" customHeight="1" x14ac:dyDescent="0.2">
      <c r="A35" s="260"/>
      <c r="B35" s="452" t="s">
        <v>416</v>
      </c>
      <c r="C35" s="451" t="s">
        <v>524</v>
      </c>
      <c r="D35" s="412" t="s">
        <v>423</v>
      </c>
      <c r="E35" s="415">
        <v>40000</v>
      </c>
      <c r="F35" s="414" t="s">
        <v>179</v>
      </c>
      <c r="G35" s="419">
        <v>0.92</v>
      </c>
      <c r="H35" s="451"/>
      <c r="I35" s="472"/>
      <c r="J35" s="472">
        <v>0.99871254681647936</v>
      </c>
      <c r="K35" s="451"/>
      <c r="L35" s="456"/>
      <c r="M35" s="455"/>
      <c r="N35" s="451"/>
      <c r="O35" s="451"/>
      <c r="P35" s="194"/>
      <c r="Q35" s="194"/>
      <c r="R35" s="194"/>
      <c r="S35" s="194"/>
      <c r="T35" s="261">
        <f t="shared" si="16"/>
        <v>90</v>
      </c>
      <c r="U35" s="194"/>
      <c r="V35" s="194"/>
      <c r="W35" s="462" t="s">
        <v>133</v>
      </c>
      <c r="X35" s="462" t="s">
        <v>133</v>
      </c>
      <c r="Y35" s="463">
        <f t="shared" si="13"/>
        <v>0</v>
      </c>
      <c r="Z35" s="463">
        <f t="shared" si="14"/>
        <v>0</v>
      </c>
      <c r="AA35" s="463">
        <f t="shared" si="17"/>
        <v>0</v>
      </c>
      <c r="AB35" s="413"/>
    </row>
    <row r="36" spans="1:28" s="454" customFormat="1" ht="74.25" customHeight="1" x14ac:dyDescent="0.2">
      <c r="A36" s="260"/>
      <c r="B36" s="452" t="s">
        <v>412</v>
      </c>
      <c r="C36" s="451" t="s">
        <v>405</v>
      </c>
      <c r="D36" s="412" t="s">
        <v>388</v>
      </c>
      <c r="E36" s="415">
        <v>75015.73</v>
      </c>
      <c r="F36" s="414" t="s">
        <v>178</v>
      </c>
      <c r="G36" s="419">
        <v>0.99</v>
      </c>
      <c r="H36" s="451"/>
      <c r="I36" s="472"/>
      <c r="J36" s="472">
        <v>0.99988295880149813</v>
      </c>
      <c r="K36" s="451"/>
      <c r="L36" s="456"/>
      <c r="M36" s="455"/>
      <c r="N36" s="451"/>
      <c r="O36" s="451"/>
      <c r="P36" s="194"/>
      <c r="Q36" s="194"/>
      <c r="R36" s="194"/>
      <c r="S36" s="194"/>
      <c r="T36" s="261">
        <f t="shared" si="16"/>
        <v>160</v>
      </c>
      <c r="U36" s="194"/>
      <c r="V36" s="194"/>
      <c r="W36" s="262" t="s">
        <v>133</v>
      </c>
      <c r="X36" s="262" t="s">
        <v>133</v>
      </c>
      <c r="Y36" s="263">
        <f t="shared" si="13"/>
        <v>0</v>
      </c>
      <c r="Z36" s="263">
        <f t="shared" si="14"/>
        <v>0</v>
      </c>
      <c r="AA36" s="263"/>
      <c r="AB36" s="413"/>
    </row>
    <row r="37" spans="1:28" s="265" customFormat="1" ht="27" customHeight="1" x14ac:dyDescent="0.25">
      <c r="A37" s="651" t="s">
        <v>117</v>
      </c>
      <c r="B37" s="652"/>
      <c r="C37" s="652"/>
      <c r="D37" s="652"/>
      <c r="E37" s="652"/>
      <c r="F37" s="652"/>
      <c r="G37" s="652"/>
      <c r="H37" s="652"/>
      <c r="I37" s="652"/>
      <c r="J37" s="652"/>
      <c r="K37" s="652"/>
      <c r="L37" s="652"/>
      <c r="M37" s="652"/>
      <c r="N37" s="652"/>
      <c r="O37" s="652"/>
      <c r="P37" s="652"/>
      <c r="Q37" s="652"/>
      <c r="R37" s="652"/>
      <c r="S37" s="652"/>
      <c r="T37" s="652"/>
      <c r="U37" s="652"/>
      <c r="V37" s="652"/>
      <c r="W37" s="652"/>
      <c r="X37" s="652"/>
      <c r="Y37" s="652"/>
      <c r="Z37" s="653"/>
      <c r="AA37" s="418">
        <f>SUM(AA19:AA36)</f>
        <v>0</v>
      </c>
      <c r="AB37" s="464"/>
    </row>
    <row r="38" spans="1:28" ht="15" customHeight="1" x14ac:dyDescent="0.25">
      <c r="B38" s="29"/>
      <c r="C38" s="29"/>
      <c r="D38" s="29"/>
      <c r="E38" s="29"/>
      <c r="F38" s="29"/>
      <c r="G38" s="31"/>
      <c r="H38" s="31"/>
      <c r="I38" s="31"/>
      <c r="J38" s="31"/>
      <c r="K38" s="31"/>
      <c r="L38" s="31"/>
      <c r="M38" s="31"/>
      <c r="N38" s="31"/>
      <c r="O38" s="31"/>
      <c r="P38" s="31"/>
      <c r="Q38" s="31"/>
      <c r="R38" s="31"/>
      <c r="S38" s="31"/>
      <c r="T38" s="52"/>
      <c r="U38" s="52"/>
      <c r="V38" s="52"/>
      <c r="W38" s="52"/>
      <c r="X38" s="52"/>
      <c r="Y38" s="52"/>
      <c r="Z38" s="52"/>
    </row>
    <row r="39" spans="1:28" ht="18.75" hidden="1" customHeight="1" x14ac:dyDescent="0.25">
      <c r="A39" s="30">
        <v>24</v>
      </c>
      <c r="B39" s="136" t="s">
        <v>308</v>
      </c>
      <c r="C39" s="35">
        <f>B39*A39</f>
        <v>1320</v>
      </c>
      <c r="D39" s="35">
        <v>8760</v>
      </c>
      <c r="E39" s="35">
        <f>(8760-C39)/D39</f>
        <v>0.84931506849315064</v>
      </c>
      <c r="F39" s="34"/>
      <c r="G39" s="35"/>
      <c r="H39" s="35"/>
      <c r="I39" s="35"/>
      <c r="J39" s="35"/>
      <c r="K39" s="35"/>
      <c r="L39" s="35"/>
      <c r="M39" s="35"/>
      <c r="N39" s="35"/>
      <c r="O39" s="35"/>
      <c r="P39" s="35">
        <v>90</v>
      </c>
      <c r="Q39" s="35">
        <v>8760</v>
      </c>
      <c r="R39" s="35">
        <f>8760-P39</f>
        <v>8670</v>
      </c>
      <c r="S39" s="35"/>
      <c r="T39" s="31"/>
      <c r="U39" s="31"/>
      <c r="V39" s="31"/>
      <c r="W39" s="31"/>
      <c r="X39" s="31"/>
      <c r="Y39" s="54"/>
      <c r="Z39" s="54"/>
      <c r="AA39" s="36"/>
    </row>
    <row r="40" spans="1:28" ht="15" customHeight="1" x14ac:dyDescent="0.25">
      <c r="B40" s="33"/>
      <c r="C40" s="33"/>
      <c r="D40" s="29"/>
      <c r="E40" s="32"/>
      <c r="F40" s="34"/>
      <c r="G40" s="35"/>
      <c r="H40" s="35"/>
      <c r="I40" s="35"/>
      <c r="J40" s="35"/>
      <c r="K40" s="35"/>
      <c r="L40" s="35"/>
      <c r="M40" s="35"/>
      <c r="N40" s="35"/>
      <c r="O40" s="35"/>
      <c r="P40" s="35"/>
      <c r="Q40" s="35"/>
      <c r="R40" s="35"/>
      <c r="S40" s="35"/>
      <c r="T40" s="52"/>
      <c r="U40" s="52"/>
      <c r="V40" s="52"/>
      <c r="W40" s="52"/>
      <c r="X40" s="52"/>
    </row>
    <row r="41" spans="1:28" ht="15" customHeight="1" x14ac:dyDescent="0.25">
      <c r="Q41" s="64"/>
    </row>
    <row r="42" spans="1:28" ht="45.75" customHeight="1" x14ac:dyDescent="0.25">
      <c r="Q42" s="64"/>
      <c r="R42" s="31"/>
      <c r="W42" s="137"/>
      <c r="X42" s="138"/>
      <c r="Y42" s="137"/>
    </row>
    <row r="43" spans="1:28" x14ac:dyDescent="0.25">
      <c r="O43" s="124"/>
      <c r="P43" s="124"/>
      <c r="Q43" s="124"/>
      <c r="R43" s="124"/>
      <c r="S43" s="124"/>
      <c r="T43" s="124"/>
      <c r="U43" s="124"/>
    </row>
  </sheetData>
  <autoFilter ref="A17:AB37" xr:uid="{00000000-0009-0000-0000-00000500000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2" showButton="0"/>
    <filterColumn colId="24" showButton="0"/>
  </autoFilter>
  <mergeCells count="35">
    <mergeCell ref="AB17:AB18"/>
    <mergeCell ref="H17:S17"/>
    <mergeCell ref="T17:T18"/>
    <mergeCell ref="U17:V17"/>
    <mergeCell ref="W17:X17"/>
    <mergeCell ref="Y17:Z17"/>
    <mergeCell ref="AA17:AA18"/>
    <mergeCell ref="A37:Z37"/>
    <mergeCell ref="J7:M7"/>
    <mergeCell ref="N7:T7"/>
    <mergeCell ref="A1:AB1"/>
    <mergeCell ref="A2:AB2"/>
    <mergeCell ref="A3:AB3"/>
    <mergeCell ref="N5:T5"/>
    <mergeCell ref="J9:M9"/>
    <mergeCell ref="N9:T9"/>
    <mergeCell ref="A17:A18"/>
    <mergeCell ref="B17:B18"/>
    <mergeCell ref="C17:C18"/>
    <mergeCell ref="D17:D18"/>
    <mergeCell ref="E17:E18"/>
    <mergeCell ref="F17:F18"/>
    <mergeCell ref="G17:G18"/>
    <mergeCell ref="A14:M14"/>
    <mergeCell ref="A15:M15"/>
    <mergeCell ref="U5:AA5"/>
    <mergeCell ref="U7:AA7"/>
    <mergeCell ref="U9:AA9"/>
    <mergeCell ref="C7:H7"/>
    <mergeCell ref="C9:H9"/>
    <mergeCell ref="A11:M11"/>
    <mergeCell ref="A12:M12"/>
    <mergeCell ref="A13:M13"/>
    <mergeCell ref="J5:M5"/>
    <mergeCell ref="C5:H5"/>
  </mergeCells>
  <phoneticPr fontId="79" type="noConversion"/>
  <conditionalFormatting sqref="B19:B36">
    <cfRule type="duplicateValues" dxfId="1" priority="39"/>
  </conditionalFormatting>
  <conditionalFormatting sqref="L24:L36">
    <cfRule type="duplicateValues" dxfId="0" priority="40"/>
  </conditionalFormatting>
  <pageMargins left="0.44" right="0.32" top="0.75" bottom="0.31" header="0.3" footer="0.3"/>
  <pageSetup paperSize="9" scale="41"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pageSetUpPr fitToPage="1"/>
  </sheetPr>
  <dimension ref="A1:Y23"/>
  <sheetViews>
    <sheetView topLeftCell="A9" zoomScale="60" zoomScaleNormal="60" workbookViewId="0">
      <selection activeCell="J22" sqref="J22"/>
    </sheetView>
  </sheetViews>
  <sheetFormatPr defaultColWidth="9.140625" defaultRowHeight="15" x14ac:dyDescent="0.25"/>
  <cols>
    <col min="1" max="1" width="5.28515625" style="18" customWidth="1"/>
    <col min="2" max="2" width="26.5703125" style="18" customWidth="1"/>
    <col min="3" max="3" width="16.7109375" style="19" customWidth="1"/>
    <col min="4" max="4" width="17" style="18" customWidth="1"/>
    <col min="5" max="5" width="26.5703125" style="18" customWidth="1"/>
    <col min="6" max="6" width="24.42578125" style="38" customWidth="1"/>
    <col min="7" max="7" width="16.85546875" style="19" customWidth="1"/>
    <col min="8" max="8" width="18.85546875" style="19" customWidth="1"/>
    <col min="9" max="9" width="23.28515625" style="18" customWidth="1"/>
    <col min="10" max="10" width="30.140625" style="18" customWidth="1"/>
    <col min="11" max="11" width="14.85546875" style="18" customWidth="1"/>
    <col min="12" max="12" width="20.85546875" style="18" bestFit="1" customWidth="1"/>
    <col min="13" max="13" width="13" style="18" customWidth="1"/>
    <col min="14" max="14" width="15.85546875" style="18" customWidth="1"/>
    <col min="15" max="15" width="13" style="18" customWidth="1"/>
    <col min="16" max="16" width="18.5703125" style="18" customWidth="1"/>
    <col min="17" max="17" width="46.28515625" style="18" customWidth="1"/>
    <col min="18" max="18" width="12.85546875" style="18" customWidth="1"/>
    <col min="19" max="19" width="21.28515625" style="18" customWidth="1"/>
    <col min="20" max="20" width="9.28515625" style="18" bestFit="1" customWidth="1"/>
    <col min="21" max="16384" width="9.140625" style="18"/>
  </cols>
  <sheetData>
    <row r="1" spans="1:25" s="147" customFormat="1" ht="114" customHeight="1" x14ac:dyDescent="0.25">
      <c r="A1" s="481" t="s">
        <v>45</v>
      </c>
      <c r="B1" s="481"/>
      <c r="C1" s="481"/>
      <c r="D1" s="481"/>
      <c r="E1" s="481"/>
      <c r="F1" s="481"/>
      <c r="G1" s="481"/>
      <c r="H1" s="481"/>
      <c r="I1" s="481"/>
      <c r="J1" s="481"/>
      <c r="K1" s="481"/>
      <c r="L1" s="481"/>
      <c r="M1" s="481"/>
      <c r="N1" s="481"/>
      <c r="O1" s="481"/>
      <c r="P1" s="481"/>
      <c r="Q1" s="20"/>
      <c r="R1" s="20"/>
      <c r="S1" s="20"/>
      <c r="T1" s="20"/>
      <c r="U1" s="20"/>
      <c r="V1" s="20"/>
      <c r="W1" s="20"/>
      <c r="X1" s="20"/>
      <c r="Y1" s="20"/>
    </row>
    <row r="2" spans="1:25" s="147" customFormat="1" ht="36.75" customHeight="1" x14ac:dyDescent="0.25">
      <c r="A2" s="481" t="s">
        <v>329</v>
      </c>
      <c r="B2" s="481"/>
      <c r="C2" s="481"/>
      <c r="D2" s="481"/>
      <c r="E2" s="481"/>
      <c r="F2" s="481"/>
      <c r="G2" s="481"/>
      <c r="H2" s="481"/>
      <c r="I2" s="481"/>
      <c r="J2" s="481"/>
      <c r="K2" s="481"/>
      <c r="L2" s="481"/>
      <c r="M2" s="481"/>
      <c r="N2" s="481"/>
      <c r="O2" s="481"/>
      <c r="P2" s="481"/>
      <c r="Q2" s="21"/>
      <c r="R2" s="21"/>
      <c r="S2" s="21"/>
      <c r="T2" s="21"/>
      <c r="U2" s="21"/>
      <c r="V2" s="21"/>
      <c r="W2" s="21"/>
      <c r="X2" s="21"/>
      <c r="Y2" s="21"/>
    </row>
    <row r="3" spans="1:25" s="147" customFormat="1" ht="36.75" customHeight="1" x14ac:dyDescent="0.25">
      <c r="A3" s="482" t="s">
        <v>118</v>
      </c>
      <c r="B3" s="482"/>
      <c r="C3" s="482"/>
      <c r="D3" s="482"/>
      <c r="E3" s="482"/>
      <c r="F3" s="482"/>
      <c r="G3" s="482"/>
      <c r="H3" s="482"/>
      <c r="I3" s="482"/>
      <c r="J3" s="482"/>
      <c r="K3" s="482"/>
      <c r="L3" s="482"/>
      <c r="M3" s="482"/>
      <c r="N3" s="482"/>
      <c r="O3" s="482"/>
      <c r="P3" s="482"/>
      <c r="Q3" s="20"/>
      <c r="R3" s="20"/>
      <c r="S3" s="20"/>
      <c r="T3" s="20"/>
      <c r="U3" s="20"/>
      <c r="V3" s="20"/>
      <c r="W3" s="20"/>
      <c r="X3" s="20"/>
      <c r="Y3" s="20"/>
    </row>
    <row r="4" spans="1:25" s="305" customFormat="1" ht="17.25" customHeight="1" x14ac:dyDescent="0.2">
      <c r="A4" s="303"/>
      <c r="B4" s="267"/>
      <c r="C4" s="267"/>
      <c r="D4" s="267"/>
      <c r="E4" s="267"/>
      <c r="F4" s="266"/>
      <c r="G4" s="267"/>
      <c r="H4" s="267"/>
      <c r="I4" s="267"/>
      <c r="J4" s="267"/>
      <c r="K4" s="267"/>
      <c r="L4" s="267"/>
      <c r="M4" s="267"/>
      <c r="N4" s="267"/>
      <c r="O4" s="267"/>
      <c r="P4" s="267"/>
      <c r="Q4" s="304"/>
    </row>
    <row r="5" spans="1:25" s="305" customFormat="1" ht="33" customHeight="1" x14ac:dyDescent="0.25">
      <c r="A5" s="298"/>
      <c r="B5" s="306" t="s">
        <v>47</v>
      </c>
      <c r="C5" s="480" t="s">
        <v>335</v>
      </c>
      <c r="D5" s="480"/>
      <c r="E5" s="480"/>
      <c r="F5" s="266"/>
      <c r="G5" s="267"/>
      <c r="H5" s="267"/>
      <c r="I5" s="492" t="s">
        <v>53</v>
      </c>
      <c r="J5" s="493"/>
      <c r="K5" s="486">
        <f>BEMSdar!E7</f>
        <v>46082</v>
      </c>
      <c r="L5" s="487"/>
      <c r="M5" s="487"/>
      <c r="N5" s="488"/>
      <c r="O5" s="267"/>
      <c r="P5" s="267"/>
      <c r="Q5" s="304"/>
    </row>
    <row r="6" spans="1:25" s="305" customFormat="1" ht="9" customHeight="1" x14ac:dyDescent="0.25">
      <c r="A6" s="298"/>
      <c r="B6" s="306"/>
      <c r="C6" s="307"/>
      <c r="D6" s="308"/>
      <c r="E6" s="308"/>
      <c r="F6" s="266"/>
      <c r="G6" s="267"/>
      <c r="H6" s="267"/>
      <c r="I6" s="306"/>
      <c r="J6" s="306"/>
      <c r="K6" s="298"/>
      <c r="L6" s="298"/>
      <c r="M6" s="298"/>
      <c r="N6" s="267"/>
      <c r="O6" s="267"/>
      <c r="P6" s="267"/>
      <c r="Q6" s="304"/>
    </row>
    <row r="7" spans="1:25" s="305" customFormat="1" ht="39.75" customHeight="1" x14ac:dyDescent="0.25">
      <c r="A7" s="298"/>
      <c r="B7" s="306" t="s">
        <v>50</v>
      </c>
      <c r="C7" s="480" t="s">
        <v>339</v>
      </c>
      <c r="D7" s="480"/>
      <c r="E7" s="480"/>
      <c r="F7" s="309"/>
      <c r="G7" s="309"/>
      <c r="H7" s="309"/>
      <c r="I7" s="494" t="s">
        <v>328</v>
      </c>
      <c r="J7" s="495"/>
      <c r="K7" s="483">
        <f>BEMSdar!$E$11</f>
        <v>17318.154749999998</v>
      </c>
      <c r="L7" s="484"/>
      <c r="M7" s="484"/>
      <c r="N7" s="485"/>
      <c r="O7" s="267"/>
      <c r="P7" s="267"/>
      <c r="Q7" s="304"/>
    </row>
    <row r="8" spans="1:25" s="305" customFormat="1" ht="9" customHeight="1" x14ac:dyDescent="0.25">
      <c r="A8" s="298"/>
      <c r="B8" s="306"/>
      <c r="C8" s="307"/>
      <c r="D8" s="308"/>
      <c r="E8" s="308"/>
      <c r="F8" s="300"/>
      <c r="G8" s="299"/>
      <c r="H8" s="299"/>
      <c r="I8" s="306"/>
      <c r="J8" s="306"/>
      <c r="K8" s="298"/>
      <c r="L8" s="298"/>
      <c r="M8" s="298"/>
      <c r="N8" s="267"/>
      <c r="O8" s="267"/>
      <c r="P8" s="267"/>
      <c r="Q8" s="304"/>
    </row>
    <row r="9" spans="1:25" s="305" customFormat="1" ht="40.5" customHeight="1" x14ac:dyDescent="0.25">
      <c r="A9" s="298"/>
      <c r="B9" s="306" t="s">
        <v>52</v>
      </c>
      <c r="C9" s="480" t="s">
        <v>134</v>
      </c>
      <c r="D9" s="480"/>
      <c r="E9" s="480"/>
      <c r="F9" s="309"/>
      <c r="G9" s="309"/>
      <c r="H9" s="309"/>
      <c r="I9" s="494" t="s">
        <v>326</v>
      </c>
      <c r="J9" s="495"/>
      <c r="K9" s="489">
        <f>BEMSdar!$E$13</f>
        <v>444.05525000000125</v>
      </c>
      <c r="L9" s="490"/>
      <c r="M9" s="490"/>
      <c r="N9" s="491"/>
      <c r="O9" s="267"/>
      <c r="P9" s="267"/>
      <c r="Q9" s="304"/>
    </row>
    <row r="10" spans="1:25" s="317" customFormat="1" ht="12.75" customHeight="1" x14ac:dyDescent="0.25">
      <c r="A10" s="310"/>
      <c r="B10" s="310"/>
      <c r="C10" s="311"/>
      <c r="D10" s="312"/>
      <c r="E10" s="313"/>
      <c r="F10" s="266"/>
      <c r="G10" s="267"/>
      <c r="H10" s="267"/>
      <c r="I10" s="314"/>
      <c r="J10" s="310"/>
      <c r="K10" s="315"/>
      <c r="L10" s="316"/>
      <c r="M10" s="310"/>
      <c r="N10" s="267"/>
      <c r="O10" s="267"/>
      <c r="P10" s="267"/>
      <c r="Q10" s="304"/>
    </row>
    <row r="11" spans="1:25" s="305" customFormat="1" ht="15.75" x14ac:dyDescent="0.25">
      <c r="A11" s="298" t="s">
        <v>54</v>
      </c>
      <c r="B11" s="298"/>
      <c r="C11" s="299"/>
      <c r="D11" s="298"/>
      <c r="E11" s="298"/>
      <c r="F11" s="266"/>
      <c r="G11" s="267"/>
      <c r="H11" s="267"/>
      <c r="I11" s="298"/>
      <c r="J11" s="298"/>
      <c r="K11" s="298"/>
      <c r="L11" s="298"/>
      <c r="M11" s="298"/>
      <c r="N11" s="267"/>
      <c r="O11" s="267"/>
      <c r="P11" s="267"/>
      <c r="Q11" s="304"/>
    </row>
    <row r="12" spans="1:25" s="305" customFormat="1" ht="15.75" x14ac:dyDescent="0.25">
      <c r="A12" s="298" t="s">
        <v>55</v>
      </c>
      <c r="B12" s="298"/>
      <c r="C12" s="299"/>
      <c r="D12" s="298"/>
      <c r="E12" s="298"/>
      <c r="F12" s="300"/>
      <c r="G12" s="299"/>
      <c r="H12" s="299"/>
      <c r="I12" s="298"/>
      <c r="J12" s="298"/>
      <c r="K12" s="298"/>
      <c r="L12" s="298"/>
      <c r="M12" s="298"/>
      <c r="N12" s="267"/>
      <c r="O12" s="267"/>
      <c r="P12" s="267"/>
      <c r="Q12" s="304"/>
    </row>
    <row r="13" spans="1:25" s="305" customFormat="1" ht="15.75" x14ac:dyDescent="0.25">
      <c r="A13" s="298" t="s">
        <v>119</v>
      </c>
      <c r="B13" s="298"/>
      <c r="C13" s="299"/>
      <c r="D13" s="298"/>
      <c r="E13" s="298"/>
      <c r="F13" s="300"/>
      <c r="G13" s="299"/>
      <c r="H13" s="299"/>
      <c r="I13" s="298"/>
      <c r="J13" s="298"/>
      <c r="K13" s="298"/>
      <c r="L13" s="298"/>
      <c r="M13" s="298"/>
      <c r="N13" s="267"/>
      <c r="O13" s="267"/>
      <c r="P13" s="267"/>
      <c r="Q13" s="304"/>
    </row>
    <row r="14" spans="1:25" s="305" customFormat="1" x14ac:dyDescent="0.25">
      <c r="A14" s="298" t="s">
        <v>120</v>
      </c>
      <c r="B14" s="298"/>
      <c r="C14" s="299"/>
      <c r="D14" s="298"/>
      <c r="E14" s="298"/>
      <c r="F14" s="300"/>
      <c r="G14" s="299"/>
      <c r="H14" s="299"/>
      <c r="I14" s="298"/>
      <c r="J14" s="298"/>
      <c r="K14" s="298"/>
      <c r="L14" s="298"/>
      <c r="M14" s="298"/>
      <c r="N14" s="298"/>
      <c r="O14" s="298"/>
      <c r="P14" s="298"/>
      <c r="Q14" s="318"/>
    </row>
    <row r="15" spans="1:25" s="305" customFormat="1" x14ac:dyDescent="0.25">
      <c r="A15" s="298" t="s">
        <v>121</v>
      </c>
      <c r="B15" s="298"/>
      <c r="C15" s="299"/>
      <c r="D15" s="298"/>
      <c r="E15" s="298"/>
      <c r="F15" s="300"/>
      <c r="G15" s="299"/>
      <c r="H15" s="299"/>
      <c r="I15" s="298"/>
      <c r="J15" s="298"/>
      <c r="K15" s="298"/>
      <c r="L15" s="298"/>
      <c r="M15" s="298"/>
      <c r="N15" s="298"/>
      <c r="O15" s="298"/>
      <c r="P15" s="298"/>
      <c r="Q15" s="318"/>
    </row>
    <row r="16" spans="1:25" s="305" customFormat="1" x14ac:dyDescent="0.25">
      <c r="A16" s="298" t="s">
        <v>122</v>
      </c>
      <c r="B16" s="298"/>
      <c r="C16" s="299"/>
      <c r="D16" s="298"/>
      <c r="E16" s="298"/>
      <c r="F16" s="300"/>
      <c r="G16" s="299"/>
      <c r="H16" s="299"/>
      <c r="I16" s="298"/>
      <c r="J16" s="298"/>
      <c r="K16" s="298"/>
      <c r="L16" s="298"/>
      <c r="M16" s="298"/>
      <c r="N16" s="298"/>
      <c r="O16" s="298"/>
      <c r="P16" s="298"/>
      <c r="Q16" s="318"/>
    </row>
    <row r="17" spans="1:17" s="305" customFormat="1" ht="10.5" customHeight="1" x14ac:dyDescent="0.25">
      <c r="A17" s="298"/>
      <c r="B17" s="298"/>
      <c r="C17" s="299"/>
      <c r="D17" s="298"/>
      <c r="E17" s="298"/>
      <c r="F17" s="300"/>
      <c r="G17" s="299"/>
      <c r="H17" s="299"/>
      <c r="I17" s="298"/>
      <c r="J17" s="298"/>
      <c r="K17" s="298"/>
      <c r="L17" s="298"/>
      <c r="M17" s="298"/>
      <c r="N17" s="298"/>
      <c r="O17" s="298"/>
      <c r="P17" s="298"/>
      <c r="Q17" s="318"/>
    </row>
    <row r="18" spans="1:17" s="275" customFormat="1" ht="60" x14ac:dyDescent="0.25">
      <c r="A18" s="268" t="s">
        <v>31</v>
      </c>
      <c r="B18" s="269" t="s">
        <v>123</v>
      </c>
      <c r="C18" s="270" t="s">
        <v>124</v>
      </c>
      <c r="D18" s="271" t="s">
        <v>125</v>
      </c>
      <c r="E18" s="271" t="s">
        <v>126</v>
      </c>
      <c r="F18" s="272" t="s">
        <v>65</v>
      </c>
      <c r="G18" s="273" t="s">
        <v>127</v>
      </c>
      <c r="H18" s="273" t="s">
        <v>128</v>
      </c>
      <c r="I18" s="269" t="s">
        <v>129</v>
      </c>
      <c r="J18" s="269" t="s">
        <v>62</v>
      </c>
      <c r="K18" s="273" t="s">
        <v>130</v>
      </c>
      <c r="L18" s="269" t="s">
        <v>63</v>
      </c>
      <c r="M18" s="274" t="s">
        <v>98</v>
      </c>
      <c r="N18" s="269" t="s">
        <v>131</v>
      </c>
      <c r="O18" s="269" t="s">
        <v>75</v>
      </c>
      <c r="P18" s="269" t="s">
        <v>102</v>
      </c>
    </row>
    <row r="19" spans="1:17" s="275" customFormat="1" ht="27" customHeight="1" x14ac:dyDescent="0.25">
      <c r="A19" s="474" t="s">
        <v>334</v>
      </c>
      <c r="B19" s="475"/>
      <c r="C19" s="475"/>
      <c r="D19" s="475"/>
      <c r="E19" s="475"/>
      <c r="F19" s="475"/>
      <c r="G19" s="475"/>
      <c r="H19" s="475"/>
      <c r="I19" s="475"/>
      <c r="J19" s="475"/>
      <c r="K19" s="475"/>
      <c r="L19" s="475"/>
      <c r="M19" s="475"/>
      <c r="N19" s="475"/>
      <c r="O19" s="475"/>
      <c r="P19" s="476"/>
    </row>
    <row r="20" spans="1:17" s="151" customFormat="1" ht="65.25" customHeight="1" x14ac:dyDescent="0.25">
      <c r="A20" s="422">
        <v>1</v>
      </c>
      <c r="B20" s="457" t="s">
        <v>349</v>
      </c>
      <c r="C20" s="458" t="s">
        <v>349</v>
      </c>
      <c r="D20" s="453" t="s">
        <v>349</v>
      </c>
      <c r="E20" s="457" t="s">
        <v>349</v>
      </c>
      <c r="F20" s="457" t="s">
        <v>349</v>
      </c>
      <c r="G20" s="458" t="s">
        <v>349</v>
      </c>
      <c r="H20" s="458" t="s">
        <v>349</v>
      </c>
      <c r="I20" s="471" t="s">
        <v>349</v>
      </c>
      <c r="J20" s="458" t="s">
        <v>349</v>
      </c>
      <c r="K20" s="458" t="s">
        <v>349</v>
      </c>
      <c r="L20" s="465" t="s">
        <v>349</v>
      </c>
      <c r="M20" s="459" t="s">
        <v>309</v>
      </c>
      <c r="N20" s="422" t="s">
        <v>133</v>
      </c>
      <c r="O20" s="460" t="s">
        <v>309</v>
      </c>
      <c r="P20" s="453" t="s">
        <v>349</v>
      </c>
      <c r="Q20" s="366"/>
    </row>
    <row r="21" spans="1:17" s="423" customFormat="1" ht="27" customHeight="1" x14ac:dyDescent="0.25">
      <c r="A21" s="428" t="s">
        <v>350</v>
      </c>
      <c r="B21" s="429"/>
      <c r="C21" s="430"/>
      <c r="D21" s="429"/>
      <c r="E21" s="429"/>
      <c r="F21" s="429"/>
      <c r="G21" s="430"/>
      <c r="H21" s="430"/>
      <c r="I21" s="469"/>
      <c r="J21" s="429"/>
      <c r="K21" s="429"/>
      <c r="L21" s="429"/>
      <c r="M21" s="429"/>
      <c r="N21" s="429"/>
      <c r="O21" s="429"/>
      <c r="P21" s="431"/>
    </row>
    <row r="22" spans="1:17" s="151" customFormat="1" ht="65.25" customHeight="1" x14ac:dyDescent="0.25">
      <c r="A22" s="422">
        <v>1</v>
      </c>
      <c r="B22" s="424" t="s">
        <v>349</v>
      </c>
      <c r="C22" s="425" t="s">
        <v>349</v>
      </c>
      <c r="D22" s="424" t="s">
        <v>349</v>
      </c>
      <c r="E22" s="424" t="s">
        <v>349</v>
      </c>
      <c r="F22" s="424" t="s">
        <v>349</v>
      </c>
      <c r="G22" s="425" t="s">
        <v>349</v>
      </c>
      <c r="H22" s="425" t="s">
        <v>349</v>
      </c>
      <c r="I22" s="424" t="s">
        <v>349</v>
      </c>
      <c r="J22" s="424" t="s">
        <v>349</v>
      </c>
      <c r="K22" s="424" t="s">
        <v>349</v>
      </c>
      <c r="L22" s="424" t="s">
        <v>349</v>
      </c>
      <c r="M22" s="426" t="s">
        <v>309</v>
      </c>
      <c r="N22" s="422" t="s">
        <v>133</v>
      </c>
      <c r="O22" s="427" t="s">
        <v>309</v>
      </c>
      <c r="P22" s="424" t="s">
        <v>349</v>
      </c>
    </row>
    <row r="23" spans="1:17" s="265" customFormat="1" ht="30.75" customHeight="1" x14ac:dyDescent="0.25">
      <c r="A23" s="477" t="s">
        <v>132</v>
      </c>
      <c r="B23" s="478"/>
      <c r="C23" s="478"/>
      <c r="D23" s="478"/>
      <c r="E23" s="478"/>
      <c r="F23" s="478"/>
      <c r="G23" s="478"/>
      <c r="H23" s="478"/>
      <c r="I23" s="478"/>
      <c r="J23" s="478"/>
      <c r="K23" s="478"/>
      <c r="L23" s="478"/>
      <c r="M23" s="478"/>
      <c r="N23" s="479"/>
      <c r="O23" s="301">
        <v>0</v>
      </c>
      <c r="P23" s="302"/>
    </row>
  </sheetData>
  <mergeCells count="14">
    <mergeCell ref="A19:P19"/>
    <mergeCell ref="A23:N23"/>
    <mergeCell ref="C7:E7"/>
    <mergeCell ref="A1:P1"/>
    <mergeCell ref="A2:P2"/>
    <mergeCell ref="A3:P3"/>
    <mergeCell ref="C5:E5"/>
    <mergeCell ref="C9:E9"/>
    <mergeCell ref="K7:N7"/>
    <mergeCell ref="K5:N5"/>
    <mergeCell ref="K9:N9"/>
    <mergeCell ref="I5:J5"/>
    <mergeCell ref="I7:J7"/>
    <mergeCell ref="I9:J9"/>
  </mergeCells>
  <phoneticPr fontId="79" type="noConversion"/>
  <pageMargins left="0.43307086614173201" right="0.2" top="0.31" bottom="0.17" header="0.31496062992126" footer="0.5"/>
  <pageSetup paperSize="9" scale="46"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2:G84"/>
  <sheetViews>
    <sheetView topLeftCell="A51" workbookViewId="0">
      <selection activeCell="E52" sqref="E52"/>
    </sheetView>
  </sheetViews>
  <sheetFormatPr defaultColWidth="22.140625" defaultRowHeight="15" x14ac:dyDescent="0.25"/>
  <cols>
    <col min="1" max="1" width="22" style="65" bestFit="1" customWidth="1"/>
    <col min="2" max="2" width="5.28515625" bestFit="1" customWidth="1"/>
    <col min="3" max="3" width="12.28515625" bestFit="1" customWidth="1"/>
    <col min="4" max="4" width="20.5703125" bestFit="1" customWidth="1"/>
    <col min="5" max="7" width="13.140625" bestFit="1" customWidth="1"/>
  </cols>
  <sheetData>
    <row r="2" spans="1:7" ht="15.75" thickBot="1" x14ac:dyDescent="0.3"/>
    <row r="3" spans="1:7" x14ac:dyDescent="0.25">
      <c r="A3" s="665" t="s">
        <v>173</v>
      </c>
      <c r="B3" s="667" t="s">
        <v>174</v>
      </c>
      <c r="C3" s="667" t="s">
        <v>175</v>
      </c>
      <c r="D3" s="667" t="s">
        <v>176</v>
      </c>
      <c r="E3" s="61" t="s">
        <v>177</v>
      </c>
      <c r="F3" s="61" t="s">
        <v>177</v>
      </c>
      <c r="G3" s="61" t="s">
        <v>180</v>
      </c>
    </row>
    <row r="4" spans="1:7" ht="15.75" thickBot="1" x14ac:dyDescent="0.3">
      <c r="A4" s="666"/>
      <c r="B4" s="668"/>
      <c r="C4" s="668"/>
      <c r="D4" s="668"/>
      <c r="E4" s="62" t="s">
        <v>178</v>
      </c>
      <c r="F4" s="62" t="s">
        <v>179</v>
      </c>
      <c r="G4" s="62" t="s">
        <v>181</v>
      </c>
    </row>
    <row r="5" spans="1:7" ht="15.75" thickBot="1" x14ac:dyDescent="0.3">
      <c r="A5" s="669" t="s">
        <v>182</v>
      </c>
      <c r="B5" s="670"/>
      <c r="C5" s="670"/>
      <c r="D5" s="670"/>
      <c r="E5" s="670"/>
      <c r="F5" s="670"/>
      <c r="G5" s="671"/>
    </row>
    <row r="6" spans="1:7" ht="15.75" thickBot="1" x14ac:dyDescent="0.3">
      <c r="A6" s="66" t="s">
        <v>183</v>
      </c>
      <c r="B6" s="62" t="s">
        <v>184</v>
      </c>
      <c r="C6" s="62">
        <v>12</v>
      </c>
      <c r="D6" s="62">
        <v>6</v>
      </c>
      <c r="E6" s="63">
        <v>0.96</v>
      </c>
      <c r="F6" s="63">
        <v>0.92</v>
      </c>
      <c r="G6" s="63">
        <v>0.85</v>
      </c>
    </row>
    <row r="7" spans="1:7" ht="23.25" thickBot="1" x14ac:dyDescent="0.3">
      <c r="A7" s="66" t="s">
        <v>185</v>
      </c>
      <c r="B7" s="62" t="s">
        <v>186</v>
      </c>
      <c r="C7" s="62">
        <v>24</v>
      </c>
      <c r="D7" s="62">
        <v>7</v>
      </c>
      <c r="E7" s="63">
        <v>0.99</v>
      </c>
      <c r="F7" s="63">
        <v>0.95</v>
      </c>
      <c r="G7" s="63">
        <v>0.88</v>
      </c>
    </row>
    <row r="8" spans="1:7" ht="15.75" thickBot="1" x14ac:dyDescent="0.3">
      <c r="A8" s="66" t="s">
        <v>187</v>
      </c>
      <c r="B8" s="62" t="s">
        <v>186</v>
      </c>
      <c r="C8" s="62">
        <v>24</v>
      </c>
      <c r="D8" s="62">
        <v>7</v>
      </c>
      <c r="E8" s="63">
        <v>0.99</v>
      </c>
      <c r="F8" s="63">
        <v>0.95</v>
      </c>
      <c r="G8" s="63">
        <v>0.88</v>
      </c>
    </row>
    <row r="9" spans="1:7" ht="15.75" thickBot="1" x14ac:dyDescent="0.3">
      <c r="A9" s="66" t="s">
        <v>188</v>
      </c>
      <c r="B9" s="62" t="s">
        <v>186</v>
      </c>
      <c r="C9" s="62">
        <v>24</v>
      </c>
      <c r="D9" s="62">
        <v>7</v>
      </c>
      <c r="E9" s="63">
        <v>0.99</v>
      </c>
      <c r="F9" s="63">
        <v>0.95</v>
      </c>
      <c r="G9" s="63">
        <v>0.88</v>
      </c>
    </row>
    <row r="10" spans="1:7" ht="15.75" thickBot="1" x14ac:dyDescent="0.3">
      <c r="A10" s="66" t="s">
        <v>189</v>
      </c>
      <c r="B10" s="62" t="s">
        <v>186</v>
      </c>
      <c r="C10" s="62">
        <v>24</v>
      </c>
      <c r="D10" s="62">
        <v>7</v>
      </c>
      <c r="E10" s="63">
        <v>0.99</v>
      </c>
      <c r="F10" s="63">
        <v>0.95</v>
      </c>
      <c r="G10" s="63">
        <v>0.88</v>
      </c>
    </row>
    <row r="11" spans="1:7" ht="15.75" thickBot="1" x14ac:dyDescent="0.3">
      <c r="A11" s="66" t="s">
        <v>190</v>
      </c>
      <c r="B11" s="62" t="s">
        <v>184</v>
      </c>
      <c r="C11" s="62">
        <v>24</v>
      </c>
      <c r="D11" s="62">
        <v>7</v>
      </c>
      <c r="E11" s="63">
        <v>0.96</v>
      </c>
      <c r="F11" s="63">
        <v>0.92</v>
      </c>
      <c r="G11" s="63">
        <v>0.85</v>
      </c>
    </row>
    <row r="12" spans="1:7" ht="15.75" thickBot="1" x14ac:dyDescent="0.3">
      <c r="A12" s="66" t="s">
        <v>191</v>
      </c>
      <c r="B12" s="62" t="s">
        <v>186</v>
      </c>
      <c r="C12" s="62">
        <v>24</v>
      </c>
      <c r="D12" s="62">
        <v>7</v>
      </c>
      <c r="E12" s="63">
        <v>0.99</v>
      </c>
      <c r="F12" s="63">
        <v>0.95</v>
      </c>
      <c r="G12" s="63">
        <v>0.88</v>
      </c>
    </row>
    <row r="13" spans="1:7" ht="15.75" thickBot="1" x14ac:dyDescent="0.3">
      <c r="A13" s="66" t="s">
        <v>192</v>
      </c>
      <c r="B13" s="62" t="s">
        <v>186</v>
      </c>
      <c r="C13" s="62">
        <v>24</v>
      </c>
      <c r="D13" s="62">
        <v>7</v>
      </c>
      <c r="E13" s="63">
        <v>0.99</v>
      </c>
      <c r="F13" s="63">
        <v>0.95</v>
      </c>
      <c r="G13" s="63">
        <v>0.88</v>
      </c>
    </row>
    <row r="14" spans="1:7" ht="15.75" thickBot="1" x14ac:dyDescent="0.3">
      <c r="A14" s="66" t="s">
        <v>193</v>
      </c>
      <c r="B14" s="62" t="s">
        <v>186</v>
      </c>
      <c r="C14" s="62">
        <v>24</v>
      </c>
      <c r="D14" s="62">
        <v>7</v>
      </c>
      <c r="E14" s="63">
        <v>0.99</v>
      </c>
      <c r="F14" s="63">
        <v>0.95</v>
      </c>
      <c r="G14" s="63">
        <v>0.88</v>
      </c>
    </row>
    <row r="15" spans="1:7" ht="15.75" thickBot="1" x14ac:dyDescent="0.3">
      <c r="A15" s="66" t="s">
        <v>194</v>
      </c>
      <c r="B15" s="62" t="s">
        <v>186</v>
      </c>
      <c r="C15" s="62">
        <v>24</v>
      </c>
      <c r="D15" s="62">
        <v>7</v>
      </c>
      <c r="E15" s="63">
        <v>0.99</v>
      </c>
      <c r="F15" s="63">
        <v>0.95</v>
      </c>
      <c r="G15" s="63">
        <v>0.88</v>
      </c>
    </row>
    <row r="16" spans="1:7" ht="15.75" thickBot="1" x14ac:dyDescent="0.3">
      <c r="A16" s="66" t="s">
        <v>195</v>
      </c>
      <c r="B16" s="62" t="s">
        <v>186</v>
      </c>
      <c r="C16" s="62">
        <v>24</v>
      </c>
      <c r="D16" s="62">
        <v>7</v>
      </c>
      <c r="E16" s="63">
        <v>0.99</v>
      </c>
      <c r="F16" s="63">
        <v>0.95</v>
      </c>
      <c r="G16" s="63">
        <v>0.88</v>
      </c>
    </row>
    <row r="17" spans="1:7" ht="15.75" thickBot="1" x14ac:dyDescent="0.3">
      <c r="A17" s="66" t="s">
        <v>196</v>
      </c>
      <c r="B17" s="62" t="s">
        <v>186</v>
      </c>
      <c r="C17" s="62">
        <v>24</v>
      </c>
      <c r="D17" s="62">
        <v>7</v>
      </c>
      <c r="E17" s="63">
        <v>0.99</v>
      </c>
      <c r="F17" s="63">
        <v>0.95</v>
      </c>
      <c r="G17" s="63">
        <v>0.88</v>
      </c>
    </row>
    <row r="18" spans="1:7" ht="15.75" thickBot="1" x14ac:dyDescent="0.3">
      <c r="A18" s="66" t="s">
        <v>197</v>
      </c>
      <c r="B18" s="62" t="s">
        <v>186</v>
      </c>
      <c r="C18" s="62">
        <v>24</v>
      </c>
      <c r="D18" s="62">
        <v>7</v>
      </c>
      <c r="E18" s="63">
        <v>0.99</v>
      </c>
      <c r="F18" s="63">
        <v>0.95</v>
      </c>
      <c r="G18" s="63">
        <v>0.88</v>
      </c>
    </row>
    <row r="19" spans="1:7" ht="15.75" thickBot="1" x14ac:dyDescent="0.3">
      <c r="A19" s="66" t="s">
        <v>198</v>
      </c>
      <c r="B19" s="62" t="s">
        <v>186</v>
      </c>
      <c r="C19" s="62">
        <v>24</v>
      </c>
      <c r="D19" s="62">
        <v>7</v>
      </c>
      <c r="E19" s="63">
        <v>0.99</v>
      </c>
      <c r="F19" s="63">
        <v>0.95</v>
      </c>
      <c r="G19" s="63">
        <v>0.88</v>
      </c>
    </row>
    <row r="20" spans="1:7" ht="15.75" thickBot="1" x14ac:dyDescent="0.3">
      <c r="A20" s="66" t="s">
        <v>199</v>
      </c>
      <c r="B20" s="62" t="s">
        <v>186</v>
      </c>
      <c r="C20" s="62">
        <v>12</v>
      </c>
      <c r="D20" s="62">
        <v>6</v>
      </c>
      <c r="E20" s="63">
        <v>0.99</v>
      </c>
      <c r="F20" s="63">
        <v>0.95</v>
      </c>
      <c r="G20" s="63">
        <v>0.88</v>
      </c>
    </row>
    <row r="21" spans="1:7" ht="15.75" thickBot="1" x14ac:dyDescent="0.3">
      <c r="A21" s="66" t="s">
        <v>200</v>
      </c>
      <c r="B21" s="62" t="s">
        <v>186</v>
      </c>
      <c r="C21" s="62">
        <v>24</v>
      </c>
      <c r="D21" s="62">
        <v>7</v>
      </c>
      <c r="E21" s="63">
        <v>0.99</v>
      </c>
      <c r="F21" s="63">
        <v>0.95</v>
      </c>
      <c r="G21" s="63">
        <v>0.88</v>
      </c>
    </row>
    <row r="22" spans="1:7" ht="15.75" thickBot="1" x14ac:dyDescent="0.3">
      <c r="A22" s="66" t="s">
        <v>201</v>
      </c>
      <c r="B22" s="62" t="s">
        <v>186</v>
      </c>
      <c r="C22" s="62">
        <v>24</v>
      </c>
      <c r="D22" s="62">
        <v>7</v>
      </c>
      <c r="E22" s="63">
        <v>0.99</v>
      </c>
      <c r="F22" s="63">
        <v>0.95</v>
      </c>
      <c r="G22" s="63">
        <v>0.88</v>
      </c>
    </row>
    <row r="23" spans="1:7" ht="15.75" thickBot="1" x14ac:dyDescent="0.3">
      <c r="A23" s="66" t="s">
        <v>202</v>
      </c>
      <c r="B23" s="62" t="s">
        <v>186</v>
      </c>
      <c r="C23" s="62">
        <v>24</v>
      </c>
      <c r="D23" s="62">
        <v>7</v>
      </c>
      <c r="E23" s="63">
        <v>0.99</v>
      </c>
      <c r="F23" s="63">
        <v>0.95</v>
      </c>
      <c r="G23" s="63">
        <v>0.88</v>
      </c>
    </row>
    <row r="24" spans="1:7" ht="15.75" thickBot="1" x14ac:dyDescent="0.3">
      <c r="A24" s="66" t="s">
        <v>203</v>
      </c>
      <c r="B24" s="62" t="s">
        <v>184</v>
      </c>
      <c r="C24" s="62">
        <v>24</v>
      </c>
      <c r="D24" s="62">
        <v>7</v>
      </c>
      <c r="E24" s="63">
        <v>0.96</v>
      </c>
      <c r="F24" s="63">
        <v>0.92</v>
      </c>
      <c r="G24" s="63">
        <v>0.85</v>
      </c>
    </row>
    <row r="25" spans="1:7" ht="15.75" thickBot="1" x14ac:dyDescent="0.3">
      <c r="A25" s="66" t="s">
        <v>204</v>
      </c>
      <c r="B25" s="62" t="s">
        <v>186</v>
      </c>
      <c r="C25" s="62">
        <v>24</v>
      </c>
      <c r="D25" s="62">
        <v>7</v>
      </c>
      <c r="E25" s="63">
        <v>0.99</v>
      </c>
      <c r="F25" s="63">
        <v>0.95</v>
      </c>
      <c r="G25" s="63">
        <v>0.88</v>
      </c>
    </row>
    <row r="26" spans="1:7" ht="15.75" thickBot="1" x14ac:dyDescent="0.3">
      <c r="A26" s="66" t="s">
        <v>205</v>
      </c>
      <c r="B26" s="62" t="s">
        <v>184</v>
      </c>
      <c r="C26" s="62">
        <v>12</v>
      </c>
      <c r="D26" s="62">
        <v>6</v>
      </c>
      <c r="E26" s="63">
        <v>0.96</v>
      </c>
      <c r="F26" s="63">
        <v>0.92</v>
      </c>
      <c r="G26" s="63">
        <v>0.85</v>
      </c>
    </row>
    <row r="27" spans="1:7" ht="15.75" thickBot="1" x14ac:dyDescent="0.3">
      <c r="A27" s="66" t="s">
        <v>206</v>
      </c>
      <c r="B27" s="62" t="s">
        <v>186</v>
      </c>
      <c r="C27" s="62">
        <v>24</v>
      </c>
      <c r="D27" s="62">
        <v>7</v>
      </c>
      <c r="E27" s="63">
        <v>0.99</v>
      </c>
      <c r="F27" s="63">
        <v>0.95</v>
      </c>
      <c r="G27" s="63">
        <v>0.88</v>
      </c>
    </row>
    <row r="28" spans="1:7" ht="15.75" thickBot="1" x14ac:dyDescent="0.3">
      <c r="A28" s="66" t="s">
        <v>207</v>
      </c>
      <c r="B28" s="62" t="s">
        <v>184</v>
      </c>
      <c r="C28" s="62">
        <v>12</v>
      </c>
      <c r="D28" s="62">
        <v>6</v>
      </c>
      <c r="E28" s="63">
        <v>0.96</v>
      </c>
      <c r="F28" s="63">
        <v>0.92</v>
      </c>
      <c r="G28" s="63">
        <v>0.85</v>
      </c>
    </row>
    <row r="29" spans="1:7" ht="15.75" thickBot="1" x14ac:dyDescent="0.3">
      <c r="A29" s="66" t="s">
        <v>208</v>
      </c>
      <c r="B29" s="62" t="s">
        <v>186</v>
      </c>
      <c r="C29" s="62">
        <v>24</v>
      </c>
      <c r="D29" s="62">
        <v>7</v>
      </c>
      <c r="E29" s="63">
        <v>0.99</v>
      </c>
      <c r="F29" s="63">
        <v>0.95</v>
      </c>
      <c r="G29" s="63">
        <v>0.88</v>
      </c>
    </row>
    <row r="30" spans="1:7" ht="15.75" thickBot="1" x14ac:dyDescent="0.3">
      <c r="A30" s="66" t="s">
        <v>209</v>
      </c>
      <c r="B30" s="62" t="s">
        <v>186</v>
      </c>
      <c r="C30" s="62">
        <v>24</v>
      </c>
      <c r="D30" s="62">
        <v>7</v>
      </c>
      <c r="E30" s="63">
        <v>0.99</v>
      </c>
      <c r="F30" s="63">
        <v>0.95</v>
      </c>
      <c r="G30" s="63">
        <v>0.88</v>
      </c>
    </row>
    <row r="31" spans="1:7" ht="15.75" thickBot="1" x14ac:dyDescent="0.3">
      <c r="A31" s="66" t="s">
        <v>210</v>
      </c>
      <c r="B31" s="62" t="s">
        <v>184</v>
      </c>
      <c r="C31" s="62">
        <v>12</v>
      </c>
      <c r="D31" s="62">
        <v>6</v>
      </c>
      <c r="E31" s="63">
        <v>0.96</v>
      </c>
      <c r="F31" s="63">
        <v>0.92</v>
      </c>
      <c r="G31" s="63">
        <v>0.85</v>
      </c>
    </row>
    <row r="32" spans="1:7" ht="15.75" thickBot="1" x14ac:dyDescent="0.3">
      <c r="A32" s="66" t="s">
        <v>211</v>
      </c>
      <c r="B32" s="62" t="s">
        <v>184</v>
      </c>
      <c r="C32" s="62">
        <v>12</v>
      </c>
      <c r="D32" s="62">
        <v>7</v>
      </c>
      <c r="E32" s="63">
        <v>0.96</v>
      </c>
      <c r="F32" s="63">
        <v>0.92</v>
      </c>
      <c r="G32" s="63">
        <v>0.85</v>
      </c>
    </row>
    <row r="33" spans="1:7" ht="15.75" thickBot="1" x14ac:dyDescent="0.3">
      <c r="A33" s="66" t="s">
        <v>212</v>
      </c>
      <c r="B33" s="62" t="s">
        <v>184</v>
      </c>
      <c r="C33" s="62">
        <v>12</v>
      </c>
      <c r="D33" s="62">
        <v>6</v>
      </c>
      <c r="E33" s="63">
        <v>0.96</v>
      </c>
      <c r="F33" s="63">
        <v>0.92</v>
      </c>
      <c r="G33" s="63">
        <v>0.85</v>
      </c>
    </row>
    <row r="34" spans="1:7" ht="15.75" thickBot="1" x14ac:dyDescent="0.3">
      <c r="A34" s="66" t="s">
        <v>213</v>
      </c>
      <c r="B34" s="62" t="s">
        <v>186</v>
      </c>
      <c r="C34" s="62">
        <v>24</v>
      </c>
      <c r="D34" s="62">
        <v>7</v>
      </c>
      <c r="E34" s="63">
        <v>0.99</v>
      </c>
      <c r="F34" s="63">
        <v>0.95</v>
      </c>
      <c r="G34" s="63">
        <v>0.88</v>
      </c>
    </row>
    <row r="35" spans="1:7" ht="23.25" thickBot="1" x14ac:dyDescent="0.3">
      <c r="A35" s="66" t="s">
        <v>214</v>
      </c>
      <c r="B35" s="62" t="s">
        <v>184</v>
      </c>
      <c r="C35" s="62">
        <v>24</v>
      </c>
      <c r="D35" s="62">
        <v>7</v>
      </c>
      <c r="E35" s="63">
        <v>0.96</v>
      </c>
      <c r="F35" s="63">
        <v>0.92</v>
      </c>
      <c r="G35" s="63">
        <v>0.85</v>
      </c>
    </row>
    <row r="36" spans="1:7" ht="15.75" thickBot="1" x14ac:dyDescent="0.3">
      <c r="A36" s="66" t="s">
        <v>215</v>
      </c>
      <c r="B36" s="62" t="s">
        <v>186</v>
      </c>
      <c r="C36" s="62">
        <v>24</v>
      </c>
      <c r="D36" s="62">
        <v>7</v>
      </c>
      <c r="E36" s="63">
        <v>0.99</v>
      </c>
      <c r="F36" s="63">
        <v>0.95</v>
      </c>
      <c r="G36" s="63">
        <v>0.88</v>
      </c>
    </row>
    <row r="37" spans="1:7" ht="34.5" thickBot="1" x14ac:dyDescent="0.3">
      <c r="A37" s="66" t="s">
        <v>216</v>
      </c>
      <c r="B37" s="62" t="s">
        <v>186</v>
      </c>
      <c r="C37" s="62">
        <v>12</v>
      </c>
      <c r="D37" s="62">
        <v>6</v>
      </c>
      <c r="E37" s="63">
        <v>0.96</v>
      </c>
      <c r="F37" s="63">
        <v>0.92</v>
      </c>
      <c r="G37" s="63">
        <v>0.88</v>
      </c>
    </row>
    <row r="38" spans="1:7" ht="15.75" thickBot="1" x14ac:dyDescent="0.3">
      <c r="A38" s="66" t="s">
        <v>217</v>
      </c>
      <c r="B38" s="62" t="s">
        <v>186</v>
      </c>
      <c r="C38" s="62">
        <v>24</v>
      </c>
      <c r="D38" s="62">
        <v>7</v>
      </c>
      <c r="E38" s="63">
        <v>0.99</v>
      </c>
      <c r="F38" s="63">
        <v>0.95</v>
      </c>
      <c r="G38" s="63">
        <v>0.88</v>
      </c>
    </row>
    <row r="39" spans="1:7" ht="15.75" thickBot="1" x14ac:dyDescent="0.3">
      <c r="A39" s="66" t="s">
        <v>218</v>
      </c>
      <c r="B39" s="62" t="s">
        <v>184</v>
      </c>
      <c r="C39" s="62">
        <v>24</v>
      </c>
      <c r="D39" s="62">
        <v>7</v>
      </c>
      <c r="E39" s="63">
        <v>0.96</v>
      </c>
      <c r="F39" s="63">
        <v>0.92</v>
      </c>
      <c r="G39" s="63">
        <v>0.85</v>
      </c>
    </row>
    <row r="40" spans="1:7" ht="23.25" thickBot="1" x14ac:dyDescent="0.3">
      <c r="A40" s="66" t="s">
        <v>219</v>
      </c>
      <c r="B40" s="62" t="s">
        <v>186</v>
      </c>
      <c r="C40" s="62">
        <v>24</v>
      </c>
      <c r="D40" s="62">
        <v>7</v>
      </c>
      <c r="E40" s="63">
        <v>0.99</v>
      </c>
      <c r="F40" s="63">
        <v>0.95</v>
      </c>
      <c r="G40" s="63">
        <v>0.88</v>
      </c>
    </row>
    <row r="41" spans="1:7" ht="15.75" thickBot="1" x14ac:dyDescent="0.3">
      <c r="A41" s="66" t="s">
        <v>220</v>
      </c>
      <c r="B41" s="62" t="s">
        <v>184</v>
      </c>
      <c r="C41" s="62">
        <v>12</v>
      </c>
      <c r="D41" s="62">
        <v>6</v>
      </c>
      <c r="E41" s="63">
        <v>0.96</v>
      </c>
      <c r="F41" s="63">
        <v>0.92</v>
      </c>
      <c r="G41" s="63">
        <v>0.85</v>
      </c>
    </row>
    <row r="42" spans="1:7" ht="15.75" thickBot="1" x14ac:dyDescent="0.3">
      <c r="A42" s="66" t="s">
        <v>221</v>
      </c>
      <c r="B42" s="62" t="s">
        <v>184</v>
      </c>
      <c r="C42" s="62">
        <v>12</v>
      </c>
      <c r="D42" s="62">
        <v>6</v>
      </c>
      <c r="E42" s="63">
        <v>0.96</v>
      </c>
      <c r="F42" s="63">
        <v>0.92</v>
      </c>
      <c r="G42" s="63">
        <v>0.85</v>
      </c>
    </row>
    <row r="43" spans="1:7" ht="15.75" thickBot="1" x14ac:dyDescent="0.3">
      <c r="A43" s="66" t="s">
        <v>222</v>
      </c>
      <c r="B43" s="62" t="s">
        <v>184</v>
      </c>
      <c r="C43" s="62">
        <v>12</v>
      </c>
      <c r="D43" s="62">
        <v>6</v>
      </c>
      <c r="E43" s="63">
        <v>0.96</v>
      </c>
      <c r="F43" s="63">
        <v>0.92</v>
      </c>
      <c r="G43" s="63">
        <v>0.85</v>
      </c>
    </row>
    <row r="44" spans="1:7" ht="15.75" thickBot="1" x14ac:dyDescent="0.3">
      <c r="A44" s="66" t="s">
        <v>223</v>
      </c>
      <c r="B44" s="62" t="s">
        <v>184</v>
      </c>
      <c r="C44" s="62">
        <v>12</v>
      </c>
      <c r="D44" s="62">
        <v>6</v>
      </c>
      <c r="E44" s="63">
        <v>0.96</v>
      </c>
      <c r="F44" s="63">
        <v>0.92</v>
      </c>
      <c r="G44" s="63">
        <v>0.85</v>
      </c>
    </row>
    <row r="45" spans="1:7" ht="23.25" thickBot="1" x14ac:dyDescent="0.3">
      <c r="A45" s="66" t="s">
        <v>224</v>
      </c>
      <c r="B45" s="62" t="s">
        <v>186</v>
      </c>
      <c r="C45" s="62">
        <v>24</v>
      </c>
      <c r="D45" s="62">
        <v>7</v>
      </c>
      <c r="E45" s="63">
        <v>0.96</v>
      </c>
      <c r="F45" s="63">
        <v>0.92</v>
      </c>
      <c r="G45" s="63">
        <v>0.88</v>
      </c>
    </row>
    <row r="46" spans="1:7" ht="15.75" thickBot="1" x14ac:dyDescent="0.3">
      <c r="A46" s="66" t="s">
        <v>225</v>
      </c>
      <c r="B46" s="62" t="s">
        <v>184</v>
      </c>
      <c r="C46" s="62">
        <v>12</v>
      </c>
      <c r="D46" s="62">
        <v>6</v>
      </c>
      <c r="E46" s="63">
        <v>0.96</v>
      </c>
      <c r="F46" s="63">
        <v>0.92</v>
      </c>
      <c r="G46" s="63">
        <v>0.85</v>
      </c>
    </row>
    <row r="47" spans="1:7" ht="15.75" thickBot="1" x14ac:dyDescent="0.3">
      <c r="A47" s="66" t="s">
        <v>226</v>
      </c>
      <c r="B47" s="62" t="s">
        <v>186</v>
      </c>
      <c r="C47" s="62">
        <v>24</v>
      </c>
      <c r="D47" s="62">
        <v>7</v>
      </c>
      <c r="E47" s="63">
        <v>0.99</v>
      </c>
      <c r="F47" s="63">
        <v>0.95</v>
      </c>
      <c r="G47" s="63">
        <v>0.88</v>
      </c>
    </row>
    <row r="48" spans="1:7" ht="15.75" thickBot="1" x14ac:dyDescent="0.3">
      <c r="A48" s="66" t="s">
        <v>227</v>
      </c>
      <c r="B48" s="62" t="s">
        <v>184</v>
      </c>
      <c r="C48" s="62">
        <v>24</v>
      </c>
      <c r="D48" s="62">
        <v>7</v>
      </c>
      <c r="E48" s="63">
        <v>0.96</v>
      </c>
      <c r="F48" s="63">
        <v>0.92</v>
      </c>
      <c r="G48" s="63">
        <v>0.85</v>
      </c>
    </row>
    <row r="49" spans="1:7" ht="15.75" thickBot="1" x14ac:dyDescent="0.3">
      <c r="A49" s="66" t="s">
        <v>228</v>
      </c>
      <c r="B49" s="62" t="s">
        <v>186</v>
      </c>
      <c r="C49" s="62">
        <v>24</v>
      </c>
      <c r="D49" s="62">
        <v>7</v>
      </c>
      <c r="E49" s="63">
        <v>0.99</v>
      </c>
      <c r="F49" s="63">
        <v>0.95</v>
      </c>
      <c r="G49" s="63">
        <v>0.88</v>
      </c>
    </row>
    <row r="50" spans="1:7" ht="23.25" thickBot="1" x14ac:dyDescent="0.3">
      <c r="A50" s="66" t="s">
        <v>229</v>
      </c>
      <c r="B50" s="62" t="s">
        <v>186</v>
      </c>
      <c r="C50" s="62">
        <v>24</v>
      </c>
      <c r="D50" s="62">
        <v>7</v>
      </c>
      <c r="E50" s="63">
        <v>0.99</v>
      </c>
      <c r="F50" s="63">
        <v>0.95</v>
      </c>
      <c r="G50" s="63">
        <v>0.88</v>
      </c>
    </row>
    <row r="51" spans="1:7" ht="15.75" thickBot="1" x14ac:dyDescent="0.3">
      <c r="A51" s="66" t="s">
        <v>230</v>
      </c>
      <c r="B51" s="62" t="s">
        <v>184</v>
      </c>
      <c r="C51" s="62">
        <v>12</v>
      </c>
      <c r="D51" s="62">
        <v>6</v>
      </c>
      <c r="E51" s="63">
        <v>0.96</v>
      </c>
      <c r="F51" s="63">
        <v>0.92</v>
      </c>
      <c r="G51" s="63">
        <v>0.85</v>
      </c>
    </row>
    <row r="52" spans="1:7" ht="23.25" thickBot="1" x14ac:dyDescent="0.3">
      <c r="A52" s="66" t="s">
        <v>231</v>
      </c>
      <c r="B52" s="62" t="s">
        <v>186</v>
      </c>
      <c r="C52" s="62">
        <v>24</v>
      </c>
      <c r="D52" s="62">
        <v>7</v>
      </c>
      <c r="E52" s="63">
        <v>0.99</v>
      </c>
      <c r="F52" s="63">
        <v>0.95</v>
      </c>
      <c r="G52" s="63">
        <v>0.88</v>
      </c>
    </row>
    <row r="53" spans="1:7" ht="23.25" thickBot="1" x14ac:dyDescent="0.3">
      <c r="A53" s="66" t="s">
        <v>232</v>
      </c>
      <c r="B53" s="62" t="s">
        <v>184</v>
      </c>
      <c r="C53" s="62">
        <v>12</v>
      </c>
      <c r="D53" s="62">
        <v>6</v>
      </c>
      <c r="E53" s="63">
        <v>0.99</v>
      </c>
      <c r="F53" s="63">
        <v>0.92</v>
      </c>
      <c r="G53" s="63">
        <v>0.85</v>
      </c>
    </row>
    <row r="54" spans="1:7" ht="15.75" thickBot="1" x14ac:dyDescent="0.3">
      <c r="A54" s="66" t="s">
        <v>233</v>
      </c>
      <c r="B54" s="62" t="s">
        <v>186</v>
      </c>
      <c r="C54" s="62">
        <v>12</v>
      </c>
      <c r="D54" s="62">
        <v>6</v>
      </c>
      <c r="E54" s="63">
        <v>0.99</v>
      </c>
      <c r="F54" s="63">
        <v>0.95</v>
      </c>
      <c r="G54" s="63">
        <v>0.88</v>
      </c>
    </row>
    <row r="55" spans="1:7" ht="15.75" thickBot="1" x14ac:dyDescent="0.3">
      <c r="A55" s="66" t="s">
        <v>234</v>
      </c>
      <c r="B55" s="62" t="s">
        <v>186</v>
      </c>
      <c r="C55" s="62">
        <v>24</v>
      </c>
      <c r="D55" s="62">
        <v>7</v>
      </c>
      <c r="E55" s="63">
        <v>0.99</v>
      </c>
      <c r="F55" s="63">
        <v>0.95</v>
      </c>
      <c r="G55" s="63">
        <v>0.88</v>
      </c>
    </row>
    <row r="56" spans="1:7" ht="23.25" thickBot="1" x14ac:dyDescent="0.3">
      <c r="A56" s="66" t="s">
        <v>263</v>
      </c>
      <c r="B56" s="62" t="s">
        <v>186</v>
      </c>
      <c r="C56" s="62">
        <v>24</v>
      </c>
      <c r="D56" s="62">
        <v>7</v>
      </c>
      <c r="E56" s="63">
        <v>0.99</v>
      </c>
      <c r="F56" s="63">
        <v>0.95</v>
      </c>
      <c r="G56" s="63">
        <v>0.88</v>
      </c>
    </row>
    <row r="57" spans="1:7" ht="15.75" thickBot="1" x14ac:dyDescent="0.3">
      <c r="A57" s="66" t="s">
        <v>235</v>
      </c>
      <c r="B57" s="62" t="s">
        <v>184</v>
      </c>
      <c r="C57" s="62">
        <v>12</v>
      </c>
      <c r="D57" s="62">
        <v>6</v>
      </c>
      <c r="E57" s="63">
        <v>0.96</v>
      </c>
      <c r="F57" s="63">
        <v>0.92</v>
      </c>
      <c r="G57" s="63">
        <v>0.85</v>
      </c>
    </row>
    <row r="58" spans="1:7" ht="23.25" thickBot="1" x14ac:dyDescent="0.3">
      <c r="A58" s="66" t="s">
        <v>236</v>
      </c>
      <c r="B58" s="62" t="s">
        <v>184</v>
      </c>
      <c r="C58" s="62">
        <v>12</v>
      </c>
      <c r="D58" s="62">
        <v>6</v>
      </c>
      <c r="E58" s="63">
        <v>0.96</v>
      </c>
      <c r="F58" s="63">
        <v>0.92</v>
      </c>
      <c r="G58" s="63">
        <v>0.85</v>
      </c>
    </row>
    <row r="59" spans="1:7" ht="15.75" thickBot="1" x14ac:dyDescent="0.3">
      <c r="A59" s="66" t="s">
        <v>237</v>
      </c>
      <c r="B59" s="62" t="s">
        <v>184</v>
      </c>
      <c r="C59" s="62">
        <v>12</v>
      </c>
      <c r="D59" s="62">
        <v>6</v>
      </c>
      <c r="E59" s="63">
        <v>0.96</v>
      </c>
      <c r="F59" s="63">
        <v>0.92</v>
      </c>
      <c r="G59" s="63">
        <v>0.85</v>
      </c>
    </row>
    <row r="60" spans="1:7" ht="15.75" thickBot="1" x14ac:dyDescent="0.3">
      <c r="A60" s="66" t="s">
        <v>238</v>
      </c>
      <c r="B60" s="62"/>
      <c r="C60" s="62"/>
      <c r="D60" s="62"/>
      <c r="E60" s="62"/>
      <c r="F60" s="62"/>
      <c r="G60" s="62"/>
    </row>
    <row r="61" spans="1:7" ht="15.75" thickBot="1" x14ac:dyDescent="0.3">
      <c r="A61" s="66" t="s">
        <v>239</v>
      </c>
      <c r="B61" s="62" t="s">
        <v>184</v>
      </c>
      <c r="C61" s="62">
        <v>12</v>
      </c>
      <c r="D61" s="62">
        <v>6</v>
      </c>
      <c r="E61" s="63">
        <v>0.96</v>
      </c>
      <c r="F61" s="63">
        <v>0.92</v>
      </c>
      <c r="G61" s="63">
        <v>0.85</v>
      </c>
    </row>
    <row r="62" spans="1:7" ht="15.75" thickBot="1" x14ac:dyDescent="0.3">
      <c r="A62" s="66" t="s">
        <v>240</v>
      </c>
      <c r="B62" s="62" t="s">
        <v>184</v>
      </c>
      <c r="C62" s="62">
        <v>12</v>
      </c>
      <c r="D62" s="62">
        <v>6</v>
      </c>
      <c r="E62" s="63">
        <v>0.96</v>
      </c>
      <c r="F62" s="63">
        <v>0.92</v>
      </c>
      <c r="G62" s="63">
        <v>0.85</v>
      </c>
    </row>
    <row r="63" spans="1:7" ht="15.75" thickBot="1" x14ac:dyDescent="0.3">
      <c r="A63" s="66" t="s">
        <v>241</v>
      </c>
      <c r="B63" s="62" t="s">
        <v>184</v>
      </c>
      <c r="C63" s="62">
        <v>12</v>
      </c>
      <c r="D63" s="62">
        <v>6</v>
      </c>
      <c r="E63" s="63">
        <v>0.96</v>
      </c>
      <c r="F63" s="63">
        <v>0.92</v>
      </c>
      <c r="G63" s="63">
        <v>0.85</v>
      </c>
    </row>
    <row r="64" spans="1:7" ht="15.75" thickBot="1" x14ac:dyDescent="0.3">
      <c r="A64" s="66" t="s">
        <v>242</v>
      </c>
      <c r="B64" s="62" t="s">
        <v>184</v>
      </c>
      <c r="C64" s="62">
        <v>12</v>
      </c>
      <c r="D64" s="62">
        <v>6</v>
      </c>
      <c r="E64" s="63">
        <v>0.96</v>
      </c>
      <c r="F64" s="63">
        <v>0.92</v>
      </c>
      <c r="G64" s="63">
        <v>0.85</v>
      </c>
    </row>
    <row r="65" spans="1:7" ht="15.75" thickBot="1" x14ac:dyDescent="0.3">
      <c r="A65" s="66" t="s">
        <v>243</v>
      </c>
      <c r="B65" s="62" t="s">
        <v>184</v>
      </c>
      <c r="C65" s="62">
        <v>12</v>
      </c>
      <c r="D65" s="62">
        <v>6</v>
      </c>
      <c r="E65" s="63">
        <v>0.96</v>
      </c>
      <c r="F65" s="63">
        <v>0.92</v>
      </c>
      <c r="G65" s="63">
        <v>0.85</v>
      </c>
    </row>
    <row r="66" spans="1:7" ht="15.75" thickBot="1" x14ac:dyDescent="0.3">
      <c r="A66" s="66" t="s">
        <v>244</v>
      </c>
      <c r="B66" s="62" t="s">
        <v>184</v>
      </c>
      <c r="C66" s="62">
        <v>12</v>
      </c>
      <c r="D66" s="62">
        <v>6</v>
      </c>
      <c r="E66" s="63">
        <v>0.96</v>
      </c>
      <c r="F66" s="63">
        <v>0.92</v>
      </c>
      <c r="G66" s="63">
        <v>0.85</v>
      </c>
    </row>
    <row r="67" spans="1:7" ht="15.75" thickBot="1" x14ac:dyDescent="0.3">
      <c r="A67" s="66" t="s">
        <v>245</v>
      </c>
      <c r="B67" s="62" t="s">
        <v>184</v>
      </c>
      <c r="C67" s="62">
        <v>12</v>
      </c>
      <c r="D67" s="62">
        <v>6</v>
      </c>
      <c r="E67" s="63">
        <v>0.96</v>
      </c>
      <c r="F67" s="63">
        <v>0.92</v>
      </c>
      <c r="G67" s="63">
        <v>0.85</v>
      </c>
    </row>
    <row r="68" spans="1:7" ht="15.75" thickBot="1" x14ac:dyDescent="0.3">
      <c r="A68" s="66" t="s">
        <v>246</v>
      </c>
      <c r="B68" s="62" t="s">
        <v>184</v>
      </c>
      <c r="C68" s="62">
        <v>12</v>
      </c>
      <c r="D68" s="62">
        <v>6</v>
      </c>
      <c r="E68" s="63">
        <v>0.96</v>
      </c>
      <c r="F68" s="63">
        <v>0.92</v>
      </c>
      <c r="G68" s="63">
        <v>0.85</v>
      </c>
    </row>
    <row r="69" spans="1:7" ht="15.75" thickBot="1" x14ac:dyDescent="0.3">
      <c r="A69" s="66" t="s">
        <v>247</v>
      </c>
      <c r="B69" s="62" t="s">
        <v>184</v>
      </c>
      <c r="C69" s="62">
        <v>12</v>
      </c>
      <c r="D69" s="62">
        <v>6</v>
      </c>
      <c r="E69" s="63">
        <v>0.96</v>
      </c>
      <c r="F69" s="63">
        <v>0.92</v>
      </c>
      <c r="G69" s="63">
        <v>0.85</v>
      </c>
    </row>
    <row r="70" spans="1:7" ht="15.75" thickBot="1" x14ac:dyDescent="0.3">
      <c r="A70" s="66" t="s">
        <v>248</v>
      </c>
      <c r="B70" s="62" t="s">
        <v>184</v>
      </c>
      <c r="C70" s="62">
        <v>12</v>
      </c>
      <c r="D70" s="62">
        <v>6</v>
      </c>
      <c r="E70" s="63">
        <v>0.96</v>
      </c>
      <c r="F70" s="63">
        <v>0.92</v>
      </c>
      <c r="G70" s="63">
        <v>0.85</v>
      </c>
    </row>
    <row r="71" spans="1:7" ht="15.75" thickBot="1" x14ac:dyDescent="0.3">
      <c r="A71" s="66" t="s">
        <v>249</v>
      </c>
      <c r="B71" s="62" t="s">
        <v>184</v>
      </c>
      <c r="C71" s="62">
        <v>12</v>
      </c>
      <c r="D71" s="62">
        <v>6</v>
      </c>
      <c r="E71" s="63">
        <v>0.96</v>
      </c>
      <c r="F71" s="63">
        <v>0.92</v>
      </c>
      <c r="G71" s="63">
        <v>0.85</v>
      </c>
    </row>
    <row r="72" spans="1:7" ht="15.75" thickBot="1" x14ac:dyDescent="0.3">
      <c r="A72" s="66" t="s">
        <v>250</v>
      </c>
      <c r="B72" s="62" t="s">
        <v>184</v>
      </c>
      <c r="C72" s="62">
        <v>12</v>
      </c>
      <c r="D72" s="62">
        <v>6</v>
      </c>
      <c r="E72" s="63">
        <v>0.96</v>
      </c>
      <c r="F72" s="63">
        <v>0.92</v>
      </c>
      <c r="G72" s="63">
        <v>0.85</v>
      </c>
    </row>
    <row r="73" spans="1:7" ht="15.75" thickBot="1" x14ac:dyDescent="0.3">
      <c r="A73" s="66" t="s">
        <v>251</v>
      </c>
      <c r="B73" s="62" t="s">
        <v>184</v>
      </c>
      <c r="C73" s="62">
        <v>12</v>
      </c>
      <c r="D73" s="62">
        <v>6</v>
      </c>
      <c r="E73" s="63">
        <v>0.96</v>
      </c>
      <c r="F73" s="63">
        <v>0.92</v>
      </c>
      <c r="G73" s="63">
        <v>0.85</v>
      </c>
    </row>
    <row r="74" spans="1:7" ht="23.25" thickBot="1" x14ac:dyDescent="0.3">
      <c r="A74" s="66" t="s">
        <v>252</v>
      </c>
      <c r="B74" s="62" t="s">
        <v>184</v>
      </c>
      <c r="C74" s="62">
        <v>12</v>
      </c>
      <c r="D74" s="62">
        <v>6</v>
      </c>
      <c r="E74" s="63">
        <v>0.96</v>
      </c>
      <c r="F74" s="63">
        <v>0.92</v>
      </c>
      <c r="G74" s="63">
        <v>0.85</v>
      </c>
    </row>
    <row r="75" spans="1:7" ht="23.25" thickBot="1" x14ac:dyDescent="0.3">
      <c r="A75" s="66" t="s">
        <v>253</v>
      </c>
      <c r="B75" s="62" t="s">
        <v>184</v>
      </c>
      <c r="C75" s="62">
        <v>12</v>
      </c>
      <c r="D75" s="62">
        <v>6</v>
      </c>
      <c r="E75" s="63">
        <v>0.96</v>
      </c>
      <c r="F75" s="63">
        <v>0.92</v>
      </c>
      <c r="G75" s="63">
        <v>0.85</v>
      </c>
    </row>
    <row r="76" spans="1:7" ht="15.75" thickBot="1" x14ac:dyDescent="0.3">
      <c r="A76" s="66" t="s">
        <v>254</v>
      </c>
      <c r="B76" s="62" t="s">
        <v>184</v>
      </c>
      <c r="C76" s="62">
        <v>12</v>
      </c>
      <c r="D76" s="62">
        <v>6</v>
      </c>
      <c r="E76" s="63">
        <v>0.96</v>
      </c>
      <c r="F76" s="63">
        <v>0.92</v>
      </c>
      <c r="G76" s="63">
        <v>0.85</v>
      </c>
    </row>
    <row r="77" spans="1:7" ht="15.75" thickBot="1" x14ac:dyDescent="0.3">
      <c r="A77" s="66" t="s">
        <v>255</v>
      </c>
      <c r="B77" s="62" t="s">
        <v>184</v>
      </c>
      <c r="C77" s="62">
        <v>12</v>
      </c>
      <c r="D77" s="62">
        <v>6</v>
      </c>
      <c r="E77" s="63">
        <v>0.96</v>
      </c>
      <c r="F77" s="63">
        <v>0.92</v>
      </c>
      <c r="G77" s="63">
        <v>0.85</v>
      </c>
    </row>
    <row r="78" spans="1:7" ht="15.75" thickBot="1" x14ac:dyDescent="0.3">
      <c r="A78" s="66" t="s">
        <v>256</v>
      </c>
      <c r="B78" s="62" t="s">
        <v>184</v>
      </c>
      <c r="C78" s="62">
        <v>12</v>
      </c>
      <c r="D78" s="62">
        <v>6</v>
      </c>
      <c r="E78" s="63">
        <v>0.96</v>
      </c>
      <c r="F78" s="63">
        <v>0.92</v>
      </c>
      <c r="G78" s="63">
        <v>0.85</v>
      </c>
    </row>
    <row r="79" spans="1:7" ht="15.75" thickBot="1" x14ac:dyDescent="0.3">
      <c r="A79" s="66" t="s">
        <v>257</v>
      </c>
      <c r="B79" s="62" t="s">
        <v>184</v>
      </c>
      <c r="C79" s="62">
        <v>12</v>
      </c>
      <c r="D79" s="62">
        <v>6</v>
      </c>
      <c r="E79" s="63">
        <v>0.96</v>
      </c>
      <c r="F79" s="63">
        <v>0.92</v>
      </c>
      <c r="G79" s="63">
        <v>0.85</v>
      </c>
    </row>
    <row r="80" spans="1:7" ht="15.75" thickBot="1" x14ac:dyDescent="0.3">
      <c r="A80" s="66" t="s">
        <v>258</v>
      </c>
      <c r="B80" s="62" t="s">
        <v>184</v>
      </c>
      <c r="C80" s="62">
        <v>12</v>
      </c>
      <c r="D80" s="62">
        <v>6</v>
      </c>
      <c r="E80" s="63">
        <v>0.96</v>
      </c>
      <c r="F80" s="63">
        <v>0.92</v>
      </c>
      <c r="G80" s="63">
        <v>0.85</v>
      </c>
    </row>
    <row r="81" spans="1:7" ht="15.75" thickBot="1" x14ac:dyDescent="0.3">
      <c r="A81" s="66" t="s">
        <v>259</v>
      </c>
      <c r="B81" s="62" t="s">
        <v>184</v>
      </c>
      <c r="C81" s="62">
        <v>12</v>
      </c>
      <c r="D81" s="62">
        <v>6</v>
      </c>
      <c r="E81" s="63">
        <v>0.96</v>
      </c>
      <c r="F81" s="63">
        <v>0.92</v>
      </c>
      <c r="G81" s="63">
        <v>0.85</v>
      </c>
    </row>
    <row r="82" spans="1:7" ht="15.75" thickBot="1" x14ac:dyDescent="0.3">
      <c r="A82" s="66" t="s">
        <v>260</v>
      </c>
      <c r="B82" s="62" t="s">
        <v>184</v>
      </c>
      <c r="C82" s="62">
        <v>12</v>
      </c>
      <c r="D82" s="62">
        <v>6</v>
      </c>
      <c r="E82" s="63">
        <v>0.96</v>
      </c>
      <c r="F82" s="63">
        <v>0.92</v>
      </c>
      <c r="G82" s="63">
        <v>0.85</v>
      </c>
    </row>
    <row r="83" spans="1:7" ht="15.75" thickBot="1" x14ac:dyDescent="0.3">
      <c r="A83" s="66" t="s">
        <v>261</v>
      </c>
      <c r="B83" s="62" t="s">
        <v>184</v>
      </c>
      <c r="C83" s="62">
        <v>12</v>
      </c>
      <c r="D83" s="62">
        <v>6</v>
      </c>
      <c r="E83" s="63">
        <v>0.96</v>
      </c>
      <c r="F83" s="63">
        <v>0.92</v>
      </c>
      <c r="G83" s="63">
        <v>0.85</v>
      </c>
    </row>
    <row r="84" spans="1:7" ht="15.75" thickBot="1" x14ac:dyDescent="0.3">
      <c r="A84" s="66" t="s">
        <v>262</v>
      </c>
      <c r="B84" s="62" t="s">
        <v>184</v>
      </c>
      <c r="C84" s="62">
        <v>12</v>
      </c>
      <c r="D84" s="62">
        <v>6</v>
      </c>
      <c r="E84" s="63">
        <v>0.96</v>
      </c>
      <c r="F84" s="63">
        <v>0.92</v>
      </c>
      <c r="G84" s="63">
        <v>0.85</v>
      </c>
    </row>
  </sheetData>
  <autoFilter ref="A3:G84" xr:uid="{00000000-0009-0000-0000-000007000000}"/>
  <mergeCells count="5">
    <mergeCell ref="A3:A4"/>
    <mergeCell ref="B3:B4"/>
    <mergeCell ref="C3:C4"/>
    <mergeCell ref="D3:D4"/>
    <mergeCell ref="A5:G5"/>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C8" sqref="AC8"/>
    </sheetView>
  </sheetViews>
  <sheetFormatPr defaultColWidth="12.7109375" defaultRowHeight="12.75" x14ac:dyDescent="0.2"/>
  <cols>
    <col min="1" max="1" width="3.42578125" style="115" bestFit="1" customWidth="1"/>
    <col min="2" max="2" width="10.7109375" style="115" bestFit="1" customWidth="1"/>
    <col min="3" max="3" width="15.85546875" style="115" bestFit="1" customWidth="1"/>
    <col min="4" max="4" width="14.85546875" style="115" bestFit="1" customWidth="1"/>
    <col min="5" max="5" width="5.5703125" style="115" bestFit="1" customWidth="1"/>
    <col min="6" max="6" width="12.7109375" style="115"/>
    <col min="7" max="7" width="8.7109375" style="115" bestFit="1" customWidth="1"/>
    <col min="8" max="8" width="18.140625" style="115" bestFit="1" customWidth="1"/>
    <col min="9" max="9" width="7.140625" style="115" bestFit="1" customWidth="1"/>
    <col min="10" max="10" width="8.7109375" style="115" customWidth="1"/>
    <col min="11" max="12" width="10.85546875" style="115" bestFit="1" customWidth="1"/>
    <col min="13" max="13" width="8.140625" style="115" bestFit="1" customWidth="1"/>
    <col min="14" max="14" width="8" style="115" customWidth="1"/>
    <col min="15" max="15" width="9.42578125" style="115" customWidth="1"/>
    <col min="16" max="16" width="10" style="115" bestFit="1" customWidth="1"/>
    <col min="17" max="18" width="8.85546875" style="115" customWidth="1"/>
    <col min="19" max="19" width="12.28515625" style="115" bestFit="1" customWidth="1"/>
    <col min="20" max="20" width="4.28515625" style="115" bestFit="1" customWidth="1"/>
    <col min="21" max="21" width="10.140625" style="115" bestFit="1" customWidth="1"/>
    <col min="22" max="22" width="9.85546875" style="115" bestFit="1" customWidth="1"/>
    <col min="23" max="23" width="10.140625" style="115" bestFit="1" customWidth="1"/>
    <col min="24" max="24" width="16.7109375" style="115" customWidth="1"/>
    <col min="25" max="25" width="7.28515625" style="128" bestFit="1" customWidth="1"/>
    <col min="26" max="26" width="12.85546875" style="128" bestFit="1" customWidth="1"/>
    <col min="27" max="27" width="12.85546875" style="128" customWidth="1"/>
    <col min="28" max="28" width="11" style="128" customWidth="1"/>
    <col min="29" max="29" width="13.140625" style="135" bestFit="1" customWidth="1"/>
    <col min="30" max="30" width="13.140625" style="127" customWidth="1"/>
    <col min="31" max="31" width="12.7109375" style="128"/>
    <col min="32" max="16384" width="12.7109375" style="115"/>
  </cols>
  <sheetData>
    <row r="4" spans="1:31" s="118" customFormat="1" ht="33" customHeight="1" x14ac:dyDescent="0.25">
      <c r="A4" s="679" t="s">
        <v>60</v>
      </c>
      <c r="B4" s="684" t="s">
        <v>61</v>
      </c>
      <c r="C4" s="685" t="s">
        <v>62</v>
      </c>
      <c r="D4" s="685" t="s">
        <v>63</v>
      </c>
      <c r="E4" s="684" t="s">
        <v>64</v>
      </c>
      <c r="F4" s="117"/>
      <c r="G4" s="679" t="s">
        <v>65</v>
      </c>
      <c r="H4" s="679" t="s">
        <v>66</v>
      </c>
      <c r="I4" s="680" t="s">
        <v>67</v>
      </c>
      <c r="J4" s="681" t="s">
        <v>68</v>
      </c>
      <c r="K4" s="682" t="s">
        <v>69</v>
      </c>
      <c r="L4" s="682" t="s">
        <v>70</v>
      </c>
      <c r="M4" s="683" t="s">
        <v>71</v>
      </c>
      <c r="N4" s="672" t="s">
        <v>72</v>
      </c>
      <c r="O4" s="673"/>
      <c r="P4" s="674"/>
      <c r="Q4" s="672" t="s">
        <v>73</v>
      </c>
      <c r="R4" s="675"/>
      <c r="S4" s="675"/>
      <c r="T4" s="675"/>
      <c r="U4" s="675"/>
      <c r="V4" s="676"/>
      <c r="W4" s="677" t="s">
        <v>293</v>
      </c>
      <c r="X4" s="130"/>
      <c r="Y4" s="130"/>
      <c r="Z4" s="130"/>
      <c r="AA4" s="130"/>
      <c r="AB4" s="130"/>
      <c r="AC4" s="133"/>
      <c r="AD4" s="131"/>
      <c r="AE4" s="130"/>
    </row>
    <row r="5" spans="1:31" s="118" customFormat="1" ht="60.75" customHeight="1" x14ac:dyDescent="0.25">
      <c r="A5" s="679"/>
      <c r="B5" s="684"/>
      <c r="C5" s="686"/>
      <c r="D5" s="686"/>
      <c r="E5" s="684"/>
      <c r="F5" s="117" t="s">
        <v>150</v>
      </c>
      <c r="G5" s="679"/>
      <c r="H5" s="679"/>
      <c r="I5" s="680"/>
      <c r="J5" s="681"/>
      <c r="K5" s="682"/>
      <c r="L5" s="682"/>
      <c r="M5" s="683"/>
      <c r="N5" s="119" t="s">
        <v>74</v>
      </c>
      <c r="O5" s="120" t="s">
        <v>75</v>
      </c>
      <c r="P5" s="119" t="s">
        <v>79</v>
      </c>
      <c r="Q5" s="119" t="s">
        <v>74</v>
      </c>
      <c r="R5" s="119" t="s">
        <v>76</v>
      </c>
      <c r="S5" s="121" t="s">
        <v>77</v>
      </c>
      <c r="T5" s="122" t="s">
        <v>78</v>
      </c>
      <c r="U5" s="119" t="s">
        <v>75</v>
      </c>
      <c r="V5" s="123" t="s">
        <v>79</v>
      </c>
      <c r="W5" s="678"/>
      <c r="X5" s="132" t="s">
        <v>76</v>
      </c>
      <c r="Y5" s="130" t="s">
        <v>300</v>
      </c>
      <c r="Z5" s="130" t="s">
        <v>301</v>
      </c>
      <c r="AA5" s="130" t="s">
        <v>302</v>
      </c>
      <c r="AB5" s="130" t="s">
        <v>303</v>
      </c>
      <c r="AC5" s="133" t="s">
        <v>304</v>
      </c>
      <c r="AD5" s="131" t="s">
        <v>306</v>
      </c>
      <c r="AE5" s="130" t="s">
        <v>305</v>
      </c>
    </row>
    <row r="6" spans="1:31" s="87" customFormat="1" ht="25.5" x14ac:dyDescent="0.25">
      <c r="A6" s="67">
        <v>23</v>
      </c>
      <c r="B6" s="68" t="s">
        <v>158</v>
      </c>
      <c r="C6" s="69" t="s">
        <v>269</v>
      </c>
      <c r="D6" s="70">
        <v>12049370</v>
      </c>
      <c r="E6" s="71">
        <v>1811</v>
      </c>
      <c r="F6" s="72"/>
      <c r="G6" s="68" t="s">
        <v>266</v>
      </c>
      <c r="H6" s="73" t="s">
        <v>272</v>
      </c>
      <c r="I6" s="74" t="s">
        <v>265</v>
      </c>
      <c r="J6" s="75">
        <v>1.0416666666666685E-2</v>
      </c>
      <c r="K6" s="77">
        <v>43781</v>
      </c>
      <c r="L6" s="77">
        <v>43795</v>
      </c>
      <c r="M6" s="78">
        <f t="shared" ref="M6:M16" si="0">IF(D6&gt;44999.99,100,ROUNDUP((D6/4999.99)*10,-1))</f>
        <v>100</v>
      </c>
      <c r="N6" s="67" t="s">
        <v>133</v>
      </c>
      <c r="O6" s="79">
        <f t="shared" ref="O6:O16" si="1">IF(N6="Y",M6,0)</f>
        <v>0</v>
      </c>
      <c r="P6" s="67" t="s">
        <v>172</v>
      </c>
      <c r="Q6" s="80" t="s">
        <v>133</v>
      </c>
      <c r="R6" s="81">
        <f t="shared" ref="R6:R16" si="2">L6-K6+1</f>
        <v>15</v>
      </c>
      <c r="S6" s="82">
        <f>WORKDAY(K6,6,tarikhcuti)</f>
        <v>43789</v>
      </c>
      <c r="T6" s="83">
        <f>IF(L6&gt;S6,L6-S6,0)</f>
        <v>6</v>
      </c>
      <c r="U6" s="84">
        <f t="shared" ref="U6:U16" si="3">M6*T6</f>
        <v>600</v>
      </c>
      <c r="V6" s="85"/>
      <c r="W6" s="86" t="s">
        <v>294</v>
      </c>
      <c r="X6" s="81">
        <f>R6</f>
        <v>15</v>
      </c>
      <c r="Y6" s="125">
        <v>24</v>
      </c>
      <c r="Z6" s="125">
        <f>X6*Y6</f>
        <v>360</v>
      </c>
      <c r="AA6" s="125">
        <v>8072</v>
      </c>
      <c r="AB6" s="125">
        <f>AA6-Z6</f>
        <v>7712</v>
      </c>
      <c r="AC6" s="134">
        <f>AB6/8072</f>
        <v>0.95540138751238846</v>
      </c>
      <c r="AD6" s="129">
        <v>0.92</v>
      </c>
      <c r="AE6" s="125" t="s">
        <v>31</v>
      </c>
    </row>
    <row r="7" spans="1:31" s="99" customFormat="1" ht="25.5" x14ac:dyDescent="0.25">
      <c r="A7" s="80">
        <v>1</v>
      </c>
      <c r="B7" s="88" t="s">
        <v>273</v>
      </c>
      <c r="C7" s="89" t="s">
        <v>163</v>
      </c>
      <c r="D7" s="70">
        <v>10825</v>
      </c>
      <c r="E7" s="90">
        <v>1655</v>
      </c>
      <c r="F7" s="91"/>
      <c r="G7" s="89" t="s">
        <v>274</v>
      </c>
      <c r="H7" s="92" t="s">
        <v>275</v>
      </c>
      <c r="I7" s="88" t="s">
        <v>265</v>
      </c>
      <c r="J7" s="93">
        <v>2.5694444444444464E-2</v>
      </c>
      <c r="K7" s="94">
        <v>43774</v>
      </c>
      <c r="L7" s="95">
        <v>43799</v>
      </c>
      <c r="M7" s="78">
        <f t="shared" si="0"/>
        <v>30</v>
      </c>
      <c r="N7" s="80" t="s">
        <v>133</v>
      </c>
      <c r="O7" s="79">
        <f t="shared" si="1"/>
        <v>0</v>
      </c>
      <c r="P7" s="80" t="s">
        <v>172</v>
      </c>
      <c r="Q7" s="80" t="s">
        <v>148</v>
      </c>
      <c r="R7" s="81">
        <f t="shared" si="2"/>
        <v>26</v>
      </c>
      <c r="S7" s="96">
        <f>WORKDAY(K7,6,tarikhcuti)</f>
        <v>43782</v>
      </c>
      <c r="T7" s="83">
        <f>IF(L7&gt;S7,L7-S7,0)</f>
        <v>17</v>
      </c>
      <c r="U7" s="84">
        <f t="shared" si="3"/>
        <v>510</v>
      </c>
      <c r="V7" s="97"/>
      <c r="W7" s="98" t="s">
        <v>294</v>
      </c>
      <c r="X7" s="81">
        <f t="shared" ref="X7:X16" si="4">R7</f>
        <v>26</v>
      </c>
      <c r="Y7" s="125">
        <v>24</v>
      </c>
      <c r="Z7" s="125">
        <f t="shared" ref="Z7:Z16" si="5">X7*Y7</f>
        <v>624</v>
      </c>
      <c r="AA7" s="126">
        <v>8072</v>
      </c>
      <c r="AB7" s="125">
        <f t="shared" ref="AB7:AB16" si="6">AA7-Z7</f>
        <v>7448</v>
      </c>
      <c r="AC7" s="134">
        <f t="shared" ref="AC7:AC16" si="7">AB7/8072</f>
        <v>0.92269573835480678</v>
      </c>
      <c r="AD7" s="129">
        <v>0.95</v>
      </c>
      <c r="AE7" s="126" t="s">
        <v>307</v>
      </c>
    </row>
    <row r="8" spans="1:31" s="99" customFormat="1" ht="51" x14ac:dyDescent="0.25">
      <c r="A8" s="80">
        <f>A7+1</f>
        <v>2</v>
      </c>
      <c r="B8" s="100" t="s">
        <v>291</v>
      </c>
      <c r="C8" s="100" t="s">
        <v>271</v>
      </c>
      <c r="D8" s="101">
        <v>3557530</v>
      </c>
      <c r="E8" s="102">
        <v>1172</v>
      </c>
      <c r="F8" s="103"/>
      <c r="G8" s="104" t="s">
        <v>166</v>
      </c>
      <c r="H8" s="105" t="s">
        <v>292</v>
      </c>
      <c r="I8" s="102" t="s">
        <v>265</v>
      </c>
      <c r="J8" s="106">
        <v>2.083333333333337E-2</v>
      </c>
      <c r="K8" s="94">
        <v>43770</v>
      </c>
      <c r="L8" s="107">
        <v>43782</v>
      </c>
      <c r="M8" s="78">
        <f t="shared" si="0"/>
        <v>100</v>
      </c>
      <c r="N8" s="67" t="s">
        <v>133</v>
      </c>
      <c r="O8" s="108">
        <f t="shared" si="1"/>
        <v>0</v>
      </c>
      <c r="P8" s="67" t="s">
        <v>172</v>
      </c>
      <c r="Q8" s="80" t="s">
        <v>133</v>
      </c>
      <c r="R8" s="81">
        <f t="shared" si="2"/>
        <v>13</v>
      </c>
      <c r="S8" s="82">
        <v>43763</v>
      </c>
      <c r="T8" s="81">
        <f>R8</f>
        <v>13</v>
      </c>
      <c r="U8" s="84">
        <f t="shared" si="3"/>
        <v>1300</v>
      </c>
      <c r="V8" s="85"/>
      <c r="W8" s="98" t="s">
        <v>294</v>
      </c>
      <c r="X8" s="81">
        <f t="shared" si="4"/>
        <v>13</v>
      </c>
      <c r="Y8" s="125">
        <v>24</v>
      </c>
      <c r="Z8" s="125">
        <f t="shared" si="5"/>
        <v>312</v>
      </c>
      <c r="AA8" s="126">
        <v>8072</v>
      </c>
      <c r="AB8" s="125">
        <f t="shared" si="6"/>
        <v>7760</v>
      </c>
      <c r="AC8" s="134">
        <f t="shared" si="7"/>
        <v>0.96134786917740334</v>
      </c>
      <c r="AD8" s="129">
        <v>0.95</v>
      </c>
      <c r="AE8" s="126" t="s">
        <v>31</v>
      </c>
    </row>
    <row r="9" spans="1:31" s="99" customFormat="1" ht="51" x14ac:dyDescent="0.25">
      <c r="A9" s="80">
        <f t="shared" ref="A9:A16" si="8">A8+1</f>
        <v>3</v>
      </c>
      <c r="B9" s="100" t="s">
        <v>270</v>
      </c>
      <c r="C9" s="100" t="s">
        <v>271</v>
      </c>
      <c r="D9" s="101">
        <v>3557530</v>
      </c>
      <c r="E9" s="102">
        <v>1173</v>
      </c>
      <c r="F9" s="103"/>
      <c r="G9" s="104" t="s">
        <v>166</v>
      </c>
      <c r="H9" s="105" t="s">
        <v>292</v>
      </c>
      <c r="I9" s="102" t="s">
        <v>265</v>
      </c>
      <c r="J9" s="106">
        <v>1.3888888888888951E-2</v>
      </c>
      <c r="K9" s="94">
        <v>43770</v>
      </c>
      <c r="L9" s="107">
        <v>43782</v>
      </c>
      <c r="M9" s="78">
        <f t="shared" si="0"/>
        <v>100</v>
      </c>
      <c r="N9" s="67" t="s">
        <v>133</v>
      </c>
      <c r="O9" s="108">
        <f t="shared" si="1"/>
        <v>0</v>
      </c>
      <c r="P9" s="67" t="s">
        <v>172</v>
      </c>
      <c r="Q9" s="80" t="s">
        <v>133</v>
      </c>
      <c r="R9" s="81">
        <f t="shared" si="2"/>
        <v>13</v>
      </c>
      <c r="S9" s="82">
        <v>43763</v>
      </c>
      <c r="T9" s="81">
        <f t="shared" ref="T9:T16" si="9">R9</f>
        <v>13</v>
      </c>
      <c r="U9" s="84">
        <f t="shared" si="3"/>
        <v>1300</v>
      </c>
      <c r="V9" s="85"/>
      <c r="W9" s="98" t="s">
        <v>294</v>
      </c>
      <c r="X9" s="81">
        <f t="shared" si="4"/>
        <v>13</v>
      </c>
      <c r="Y9" s="125">
        <v>24</v>
      </c>
      <c r="Z9" s="125">
        <f t="shared" si="5"/>
        <v>312</v>
      </c>
      <c r="AA9" s="126">
        <v>8072</v>
      </c>
      <c r="AB9" s="125">
        <f t="shared" si="6"/>
        <v>7760</v>
      </c>
      <c r="AC9" s="134">
        <f t="shared" si="7"/>
        <v>0.96134786917740334</v>
      </c>
      <c r="AD9" s="129">
        <v>0.95</v>
      </c>
      <c r="AE9" s="126" t="s">
        <v>31</v>
      </c>
    </row>
    <row r="10" spans="1:31" s="99" customFormat="1" ht="51" x14ac:dyDescent="0.25">
      <c r="A10" s="80">
        <f t="shared" si="8"/>
        <v>4</v>
      </c>
      <c r="B10" s="100" t="s">
        <v>276</v>
      </c>
      <c r="C10" s="100" t="s">
        <v>160</v>
      </c>
      <c r="D10" s="101">
        <v>28630</v>
      </c>
      <c r="E10" s="102">
        <v>1449</v>
      </c>
      <c r="F10" s="103"/>
      <c r="G10" s="104" t="s">
        <v>267</v>
      </c>
      <c r="H10" s="105" t="s">
        <v>284</v>
      </c>
      <c r="I10" s="74" t="s">
        <v>265</v>
      </c>
      <c r="J10" s="106">
        <v>2.777777777777779E-2</v>
      </c>
      <c r="K10" s="94">
        <v>43770</v>
      </c>
      <c r="L10" s="107">
        <v>43775</v>
      </c>
      <c r="M10" s="78">
        <f t="shared" si="0"/>
        <v>60</v>
      </c>
      <c r="N10" s="67" t="s">
        <v>133</v>
      </c>
      <c r="O10" s="108">
        <f t="shared" si="1"/>
        <v>0</v>
      </c>
      <c r="P10" s="67" t="s">
        <v>172</v>
      </c>
      <c r="Q10" s="80" t="s">
        <v>133</v>
      </c>
      <c r="R10" s="81">
        <f t="shared" si="2"/>
        <v>6</v>
      </c>
      <c r="S10" s="82">
        <v>43774</v>
      </c>
      <c r="T10" s="81">
        <f t="shared" si="9"/>
        <v>6</v>
      </c>
      <c r="U10" s="84">
        <f t="shared" si="3"/>
        <v>360</v>
      </c>
      <c r="V10" s="85"/>
      <c r="W10" s="98" t="s">
        <v>294</v>
      </c>
      <c r="X10" s="81">
        <f t="shared" si="4"/>
        <v>6</v>
      </c>
      <c r="Y10" s="125">
        <v>24</v>
      </c>
      <c r="Z10" s="125">
        <f t="shared" si="5"/>
        <v>144</v>
      </c>
      <c r="AA10" s="126">
        <v>8072</v>
      </c>
      <c r="AB10" s="125">
        <f t="shared" si="6"/>
        <v>7928</v>
      </c>
      <c r="AC10" s="134">
        <f t="shared" si="7"/>
        <v>0.98216055500495536</v>
      </c>
      <c r="AD10" s="129">
        <v>0.92</v>
      </c>
      <c r="AE10" s="126" t="s">
        <v>31</v>
      </c>
    </row>
    <row r="11" spans="1:31" s="99" customFormat="1" ht="25.5" x14ac:dyDescent="0.25">
      <c r="A11" s="80">
        <f t="shared" si="8"/>
        <v>5</v>
      </c>
      <c r="B11" s="100" t="s">
        <v>264</v>
      </c>
      <c r="C11" s="100" t="s">
        <v>162</v>
      </c>
      <c r="D11" s="101">
        <v>12049370</v>
      </c>
      <c r="E11" s="102">
        <v>1471</v>
      </c>
      <c r="F11" s="103"/>
      <c r="G11" s="104" t="s">
        <v>166</v>
      </c>
      <c r="H11" s="105" t="s">
        <v>285</v>
      </c>
      <c r="I11" s="74" t="s">
        <v>265</v>
      </c>
      <c r="J11" s="106">
        <v>6.597222222222221E-2</v>
      </c>
      <c r="K11" s="94">
        <v>43770</v>
      </c>
      <c r="L11" s="107">
        <v>43773</v>
      </c>
      <c r="M11" s="78">
        <f t="shared" si="0"/>
        <v>100</v>
      </c>
      <c r="N11" s="67" t="s">
        <v>133</v>
      </c>
      <c r="O11" s="108">
        <f t="shared" si="1"/>
        <v>0</v>
      </c>
      <c r="P11" s="67" t="s">
        <v>172</v>
      </c>
      <c r="Q11" s="80" t="s">
        <v>133</v>
      </c>
      <c r="R11" s="81">
        <f t="shared" si="2"/>
        <v>4</v>
      </c>
      <c r="S11" s="82">
        <v>43775</v>
      </c>
      <c r="T11" s="81">
        <f t="shared" si="9"/>
        <v>4</v>
      </c>
      <c r="U11" s="84">
        <f t="shared" si="3"/>
        <v>400</v>
      </c>
      <c r="V11" s="85"/>
      <c r="W11" s="98" t="s">
        <v>294</v>
      </c>
      <c r="X11" s="81">
        <f t="shared" si="4"/>
        <v>4</v>
      </c>
      <c r="Y11" s="125">
        <v>24</v>
      </c>
      <c r="Z11" s="125">
        <f t="shared" si="5"/>
        <v>96</v>
      </c>
      <c r="AA11" s="126">
        <v>8072</v>
      </c>
      <c r="AB11" s="125">
        <f t="shared" si="6"/>
        <v>7976</v>
      </c>
      <c r="AC11" s="134">
        <f t="shared" si="7"/>
        <v>0.98810703666997024</v>
      </c>
      <c r="AD11" s="129">
        <v>0.92</v>
      </c>
      <c r="AE11" s="126" t="s">
        <v>31</v>
      </c>
    </row>
    <row r="12" spans="1:31" s="99" customFormat="1" ht="51" x14ac:dyDescent="0.25">
      <c r="A12" s="80">
        <f t="shared" si="8"/>
        <v>6</v>
      </c>
      <c r="B12" s="100" t="s">
        <v>277</v>
      </c>
      <c r="C12" s="100" t="s">
        <v>160</v>
      </c>
      <c r="D12" s="101">
        <v>28630</v>
      </c>
      <c r="E12" s="102">
        <v>1476</v>
      </c>
      <c r="F12" s="103"/>
      <c r="G12" s="104" t="s">
        <v>268</v>
      </c>
      <c r="H12" s="105" t="s">
        <v>286</v>
      </c>
      <c r="I12" s="74" t="s">
        <v>265</v>
      </c>
      <c r="J12" s="106">
        <v>2.3611111111111083E-2</v>
      </c>
      <c r="K12" s="94">
        <v>43770</v>
      </c>
      <c r="L12" s="107">
        <v>43775</v>
      </c>
      <c r="M12" s="78">
        <f t="shared" si="0"/>
        <v>60</v>
      </c>
      <c r="N12" s="67" t="s">
        <v>133</v>
      </c>
      <c r="O12" s="108">
        <f t="shared" si="1"/>
        <v>0</v>
      </c>
      <c r="P12" s="67" t="s">
        <v>172</v>
      </c>
      <c r="Q12" s="80" t="s">
        <v>133</v>
      </c>
      <c r="R12" s="81">
        <f t="shared" si="2"/>
        <v>6</v>
      </c>
      <c r="S12" s="82">
        <v>43775</v>
      </c>
      <c r="T12" s="81">
        <f t="shared" si="9"/>
        <v>6</v>
      </c>
      <c r="U12" s="84">
        <f t="shared" si="3"/>
        <v>360</v>
      </c>
      <c r="V12" s="85"/>
      <c r="W12" s="98" t="e">
        <v>#N/A</v>
      </c>
      <c r="X12" s="81">
        <f t="shared" si="4"/>
        <v>6</v>
      </c>
      <c r="Y12" s="125">
        <v>24</v>
      </c>
      <c r="Z12" s="125">
        <f t="shared" si="5"/>
        <v>144</v>
      </c>
      <c r="AA12" s="126">
        <v>8072</v>
      </c>
      <c r="AB12" s="125">
        <f t="shared" si="6"/>
        <v>7928</v>
      </c>
      <c r="AC12" s="134">
        <f t="shared" si="7"/>
        <v>0.98216055500495536</v>
      </c>
      <c r="AD12" s="129">
        <v>0.92</v>
      </c>
      <c r="AE12" s="126" t="s">
        <v>31</v>
      </c>
    </row>
    <row r="13" spans="1:31" s="99" customFormat="1" ht="38.25" x14ac:dyDescent="0.25">
      <c r="A13" s="80">
        <f t="shared" si="8"/>
        <v>7</v>
      </c>
      <c r="B13" s="100" t="s">
        <v>278</v>
      </c>
      <c r="C13" s="100" t="s">
        <v>161</v>
      </c>
      <c r="D13" s="101">
        <v>4510</v>
      </c>
      <c r="E13" s="102">
        <v>1496</v>
      </c>
      <c r="F13" s="103"/>
      <c r="G13" s="104" t="s">
        <v>268</v>
      </c>
      <c r="H13" s="105" t="s">
        <v>287</v>
      </c>
      <c r="I13" s="74" t="s">
        <v>265</v>
      </c>
      <c r="J13" s="106">
        <v>1.041666666666663E-2</v>
      </c>
      <c r="K13" s="94">
        <v>43770</v>
      </c>
      <c r="L13" s="107">
        <v>43775</v>
      </c>
      <c r="M13" s="78">
        <f t="shared" si="0"/>
        <v>10</v>
      </c>
      <c r="N13" s="67" t="s">
        <v>133</v>
      </c>
      <c r="O13" s="108">
        <f t="shared" si="1"/>
        <v>0</v>
      </c>
      <c r="P13" s="67" t="s">
        <v>172</v>
      </c>
      <c r="Q13" s="80" t="s">
        <v>133</v>
      </c>
      <c r="R13" s="81">
        <f t="shared" si="2"/>
        <v>6</v>
      </c>
      <c r="S13" s="82">
        <v>43775</v>
      </c>
      <c r="T13" s="81">
        <f t="shared" si="9"/>
        <v>6</v>
      </c>
      <c r="U13" s="84">
        <f t="shared" si="3"/>
        <v>60</v>
      </c>
      <c r="V13" s="85"/>
      <c r="W13" s="98" t="s">
        <v>294</v>
      </c>
      <c r="X13" s="81">
        <f t="shared" si="4"/>
        <v>6</v>
      </c>
      <c r="Y13" s="125">
        <v>24</v>
      </c>
      <c r="Z13" s="125">
        <f t="shared" si="5"/>
        <v>144</v>
      </c>
      <c r="AA13" s="126">
        <v>8072</v>
      </c>
      <c r="AB13" s="125">
        <f t="shared" si="6"/>
        <v>7928</v>
      </c>
      <c r="AC13" s="134">
        <f t="shared" si="7"/>
        <v>0.98216055500495536</v>
      </c>
      <c r="AD13" s="129">
        <v>0.92</v>
      </c>
      <c r="AE13" s="126" t="s">
        <v>31</v>
      </c>
    </row>
    <row r="14" spans="1:31" s="99" customFormat="1" ht="51" x14ac:dyDescent="0.25">
      <c r="A14" s="80">
        <f t="shared" si="8"/>
        <v>8</v>
      </c>
      <c r="B14" s="76" t="s">
        <v>279</v>
      </c>
      <c r="C14" s="76" t="s">
        <v>280</v>
      </c>
      <c r="D14" s="109">
        <v>1044560</v>
      </c>
      <c r="E14" s="74">
        <v>1535</v>
      </c>
      <c r="F14" s="110"/>
      <c r="G14" s="111" t="s">
        <v>165</v>
      </c>
      <c r="H14" s="112" t="s">
        <v>288</v>
      </c>
      <c r="I14" s="74" t="s">
        <v>265</v>
      </c>
      <c r="J14" s="113">
        <v>1.736111111111116E-2</v>
      </c>
      <c r="K14" s="94">
        <v>43770</v>
      </c>
      <c r="L14" s="114">
        <v>43773</v>
      </c>
      <c r="M14" s="78">
        <f t="shared" si="0"/>
        <v>100</v>
      </c>
      <c r="N14" s="67" t="s">
        <v>133</v>
      </c>
      <c r="O14" s="108">
        <f t="shared" si="1"/>
        <v>0</v>
      </c>
      <c r="P14" s="67" t="s">
        <v>172</v>
      </c>
      <c r="Q14" s="80" t="s">
        <v>133</v>
      </c>
      <c r="R14" s="81">
        <f t="shared" si="2"/>
        <v>4</v>
      </c>
      <c r="S14" s="82">
        <v>43776</v>
      </c>
      <c r="T14" s="81">
        <f t="shared" si="9"/>
        <v>4</v>
      </c>
      <c r="U14" s="84">
        <f t="shared" si="3"/>
        <v>400</v>
      </c>
      <c r="V14" s="85"/>
      <c r="W14" s="98" t="s">
        <v>294</v>
      </c>
      <c r="X14" s="81">
        <f t="shared" si="4"/>
        <v>4</v>
      </c>
      <c r="Y14" s="125">
        <v>24</v>
      </c>
      <c r="Z14" s="125">
        <f t="shared" si="5"/>
        <v>96</v>
      </c>
      <c r="AA14" s="126">
        <v>8072</v>
      </c>
      <c r="AB14" s="125">
        <f t="shared" si="6"/>
        <v>7976</v>
      </c>
      <c r="AC14" s="134">
        <f t="shared" si="7"/>
        <v>0.98810703666997024</v>
      </c>
      <c r="AD14" s="129">
        <v>0.95</v>
      </c>
      <c r="AE14" s="126" t="s">
        <v>31</v>
      </c>
    </row>
    <row r="15" spans="1:31" s="99" customFormat="1" ht="25.5" x14ac:dyDescent="0.25">
      <c r="A15" s="80">
        <f t="shared" si="8"/>
        <v>9</v>
      </c>
      <c r="B15" s="76" t="s">
        <v>281</v>
      </c>
      <c r="C15" s="76" t="s">
        <v>159</v>
      </c>
      <c r="D15" s="109">
        <v>3191750</v>
      </c>
      <c r="E15" s="74">
        <v>1550</v>
      </c>
      <c r="F15" s="110"/>
      <c r="G15" s="111" t="s">
        <v>164</v>
      </c>
      <c r="H15" s="112" t="s">
        <v>289</v>
      </c>
      <c r="I15" s="74" t="s">
        <v>265</v>
      </c>
      <c r="J15" s="113">
        <v>3.4722222222222099E-3</v>
      </c>
      <c r="K15" s="94">
        <v>43770</v>
      </c>
      <c r="L15" s="114">
        <v>43773</v>
      </c>
      <c r="M15" s="78">
        <f t="shared" si="0"/>
        <v>100</v>
      </c>
      <c r="N15" s="67" t="s">
        <v>133</v>
      </c>
      <c r="O15" s="108">
        <f t="shared" si="1"/>
        <v>0</v>
      </c>
      <c r="P15" s="67" t="s">
        <v>172</v>
      </c>
      <c r="Q15" s="80" t="s">
        <v>133</v>
      </c>
      <c r="R15" s="81">
        <f t="shared" si="2"/>
        <v>4</v>
      </c>
      <c r="S15" s="82">
        <v>43777</v>
      </c>
      <c r="T15" s="81">
        <f t="shared" si="9"/>
        <v>4</v>
      </c>
      <c r="U15" s="84">
        <f t="shared" si="3"/>
        <v>400</v>
      </c>
      <c r="V15" s="85"/>
      <c r="W15" s="98" t="s">
        <v>294</v>
      </c>
      <c r="X15" s="81">
        <f t="shared" si="4"/>
        <v>4</v>
      </c>
      <c r="Y15" s="125">
        <v>24</v>
      </c>
      <c r="Z15" s="125">
        <f t="shared" si="5"/>
        <v>96</v>
      </c>
      <c r="AA15" s="126">
        <v>8072</v>
      </c>
      <c r="AB15" s="125">
        <f t="shared" si="6"/>
        <v>7976</v>
      </c>
      <c r="AC15" s="134">
        <f t="shared" si="7"/>
        <v>0.98810703666997024</v>
      </c>
      <c r="AD15" s="129">
        <v>0.92</v>
      </c>
      <c r="AE15" s="126" t="s">
        <v>31</v>
      </c>
    </row>
    <row r="16" spans="1:31" s="99" customFormat="1" ht="63.75" x14ac:dyDescent="0.25">
      <c r="A16" s="80">
        <f t="shared" si="8"/>
        <v>10</v>
      </c>
      <c r="B16" s="100" t="s">
        <v>282</v>
      </c>
      <c r="C16" s="100" t="s">
        <v>283</v>
      </c>
      <c r="D16" s="101">
        <v>3191750</v>
      </c>
      <c r="E16" s="102">
        <v>1565</v>
      </c>
      <c r="F16" s="102"/>
      <c r="G16" s="104" t="s">
        <v>165</v>
      </c>
      <c r="H16" s="105" t="s">
        <v>290</v>
      </c>
      <c r="I16" s="74" t="s">
        <v>265</v>
      </c>
      <c r="J16" s="106">
        <v>0</v>
      </c>
      <c r="K16" s="94">
        <v>43770</v>
      </c>
      <c r="L16" s="107">
        <v>43773</v>
      </c>
      <c r="M16" s="78">
        <f t="shared" si="0"/>
        <v>100</v>
      </c>
      <c r="N16" s="67" t="s">
        <v>133</v>
      </c>
      <c r="O16" s="108">
        <f t="shared" si="1"/>
        <v>0</v>
      </c>
      <c r="P16" s="67" t="s">
        <v>172</v>
      </c>
      <c r="Q16" s="80" t="s">
        <v>133</v>
      </c>
      <c r="R16" s="81">
        <f t="shared" si="2"/>
        <v>4</v>
      </c>
      <c r="S16" s="82">
        <v>43777</v>
      </c>
      <c r="T16" s="81">
        <f t="shared" si="9"/>
        <v>4</v>
      </c>
      <c r="U16" s="84">
        <f t="shared" si="3"/>
        <v>400</v>
      </c>
      <c r="V16" s="85"/>
      <c r="W16" s="98" t="s">
        <v>294</v>
      </c>
      <c r="X16" s="81">
        <f t="shared" si="4"/>
        <v>4</v>
      </c>
      <c r="Y16" s="125">
        <v>24</v>
      </c>
      <c r="Z16" s="125">
        <f t="shared" si="5"/>
        <v>96</v>
      </c>
      <c r="AA16" s="126">
        <v>8072</v>
      </c>
      <c r="AB16" s="125">
        <f t="shared" si="6"/>
        <v>7976</v>
      </c>
      <c r="AC16" s="134">
        <f t="shared" si="7"/>
        <v>0.98810703666997024</v>
      </c>
      <c r="AD16" s="129">
        <v>0.92</v>
      </c>
      <c r="AE16" s="126" t="s">
        <v>31</v>
      </c>
    </row>
    <row r="17" spans="21:21" x14ac:dyDescent="0.2">
      <c r="U17" s="116">
        <f>SUM(U6:U16)</f>
        <v>6090</v>
      </c>
    </row>
  </sheetData>
  <mergeCells count="15">
    <mergeCell ref="G4:G5"/>
    <mergeCell ref="A4:A5"/>
    <mergeCell ref="B4:B5"/>
    <mergeCell ref="C4:C5"/>
    <mergeCell ref="D4:D5"/>
    <mergeCell ref="E4:E5"/>
    <mergeCell ref="N4:P4"/>
    <mergeCell ref="Q4:V4"/>
    <mergeCell ref="W4:W5"/>
    <mergeCell ref="H4:H5"/>
    <mergeCell ref="I4:I5"/>
    <mergeCell ref="J4:J5"/>
    <mergeCell ref="K4:K5"/>
    <mergeCell ref="L4:L5"/>
    <mergeCell ref="M4: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Public Holiday</vt:lpstr>
      <vt:lpstr>KDI</vt:lpstr>
      <vt:lpstr>BEMSdar</vt:lpstr>
      <vt:lpstr>B1-RESPONSE &amp; B2-REPAIR</vt:lpstr>
      <vt:lpstr>B3-SCHEDULED</vt:lpstr>
      <vt:lpstr>B4-UPTIME</vt:lpstr>
      <vt:lpstr>B5-T&amp;C</vt:lpstr>
      <vt:lpstr>Sheet1</vt:lpstr>
      <vt:lpstr>Sheet2</vt:lpstr>
      <vt:lpstr>AWAL</vt:lpstr>
      <vt:lpstr>hujung</vt:lpstr>
      <vt:lpstr>Sheet1!OLE_LINK2</vt:lpstr>
      <vt:lpstr>'B1-RESPONSE &amp; B2-REPAIR'!Print_Area</vt:lpstr>
      <vt:lpstr>'B3-SCHEDULED'!Print_Area</vt:lpstr>
      <vt:lpstr>'B4-UPTIME'!Print_Area</vt:lpstr>
      <vt:lpstr>'B5-T&amp;C'!Print_Area</vt:lpstr>
      <vt:lpstr>BEMSdar!Print_Area</vt:lpstr>
      <vt:lpstr>KDI!Print_Area</vt:lpstr>
      <vt:lpstr>'B1-RESPONSE &amp; B2-REPAIR'!Print_Titles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HOAG</cp:lastModifiedBy>
  <cp:lastPrinted>2026-03-04T01:47:53Z</cp:lastPrinted>
  <dcterms:created xsi:type="dcterms:W3CDTF">2016-04-14T03:55:00Z</dcterms:created>
  <dcterms:modified xsi:type="dcterms:W3CDTF">2026-04-04T03:52:30Z</dcterms:modified>
</cp:coreProperties>
</file>